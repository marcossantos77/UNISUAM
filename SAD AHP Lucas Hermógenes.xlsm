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filterPrivacy="1" codeName="EstaPasta_de_trabalho"/>
  <bookViews>
    <workbookView showSheetTabs="0" xWindow="0" yWindow="0" windowWidth="20490" windowHeight="7755" tabRatio="912"/>
  </bookViews>
  <sheets>
    <sheet name="ATALHOS" sheetId="9" r:id="rId1"/>
    <sheet name="FOCO PRINCIPAL" sheetId="3" r:id="rId2"/>
    <sheet name="MATRIZ DE DECISÃO - CRITÉRIOS" sheetId="1" r:id="rId3"/>
    <sheet name="MATRIZ DE DECISÃO - OBJETIVO" sheetId="2" r:id="rId4"/>
    <sheet name="DADOS DOS LAYOUTS" sheetId="4" r:id="rId5"/>
    <sheet name="DADOS DE PRODUÇÃO" sheetId="5" r:id="rId6"/>
    <sheet name="PEDIDOS DE VENDAS" sheetId="6" r:id="rId7"/>
    <sheet name="LAYOUTS - DESENHO" sheetId="7" r:id="rId8"/>
    <sheet name="FIXADORES - PINTURA" sheetId="8" r:id="rId9"/>
    <sheet name="DASHBOARD" sheetId="10" r:id="rId10"/>
    <sheet name="BD" sheetId="11" r:id="rId11"/>
  </sheets>
  <externalReferences>
    <externalReference r:id="rId12"/>
  </externalReferences>
  <definedNames>
    <definedName name="_xlnm._FilterDatabase" localSheetId="6" hidden="1">'PEDIDOS DE VENDAS'!$A$7:$M$7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6" i="11" l="1"/>
  <c r="E16" i="11"/>
  <c r="F25" i="4" s="1"/>
  <c r="F26" i="4"/>
  <c r="F24" i="4"/>
  <c r="E26" i="4"/>
  <c r="E25" i="4"/>
  <c r="E24" i="4"/>
  <c r="D26" i="4"/>
  <c r="D25" i="4"/>
  <c r="D24" i="4"/>
  <c r="M26" i="10"/>
  <c r="M25" i="10"/>
  <c r="C17" i="11"/>
  <c r="C16" i="11"/>
  <c r="C15" i="11"/>
  <c r="E17" i="11"/>
  <c r="D17" i="11"/>
  <c r="E15" i="11"/>
  <c r="D15" i="11"/>
  <c r="I7" i="11"/>
  <c r="I6" i="11"/>
  <c r="C24" i="10"/>
  <c r="A24" i="10"/>
  <c r="O19" i="10"/>
  <c r="M19" i="10"/>
  <c r="F13" i="2" l="1"/>
  <c r="G13" i="2"/>
  <c r="F11" i="2"/>
  <c r="G11" i="2"/>
  <c r="C46" i="11" l="1"/>
  <c r="E45" i="11"/>
  <c r="G45" i="11" s="1"/>
  <c r="D45" i="11"/>
  <c r="F45" i="11" s="1"/>
  <c r="E44" i="11"/>
  <c r="E46" i="11" s="1"/>
  <c r="D44" i="11"/>
  <c r="G39" i="11"/>
  <c r="F39" i="11"/>
  <c r="D39" i="11"/>
  <c r="C39" i="11"/>
  <c r="E39" i="11" s="1"/>
  <c r="G25" i="11"/>
  <c r="C25" i="11"/>
  <c r="C7" i="11" s="1"/>
  <c r="G23" i="11"/>
  <c r="F23" i="11"/>
  <c r="F25" i="11" s="1"/>
  <c r="E23" i="11"/>
  <c r="D23" i="11"/>
  <c r="D25" i="11" s="1"/>
  <c r="D21" i="11" s="1"/>
  <c r="G22" i="11"/>
  <c r="E22" i="11"/>
  <c r="E25" i="11" s="1"/>
  <c r="G21" i="11"/>
  <c r="F21" i="11"/>
  <c r="C18" i="11"/>
  <c r="F12" i="11"/>
  <c r="E5" i="11"/>
  <c r="E20" i="11" s="1"/>
  <c r="D5" i="11"/>
  <c r="E4" i="11"/>
  <c r="D4" i="11"/>
  <c r="E3" i="11"/>
  <c r="E10" i="11" s="1"/>
  <c r="D3" i="11"/>
  <c r="K69" i="8"/>
  <c r="N66" i="8"/>
  <c r="K68" i="8" s="1"/>
  <c r="J36" i="8"/>
  <c r="O30" i="8"/>
  <c r="O22" i="8"/>
  <c r="S15" i="8"/>
  <c r="O14" i="8"/>
  <c r="D88" i="7"/>
  <c r="D86" i="7"/>
  <c r="D85" i="7"/>
  <c r="D84" i="7"/>
  <c r="T83" i="7"/>
  <c r="T82" i="7"/>
  <c r="D70" i="7"/>
  <c r="D68" i="7"/>
  <c r="D67" i="7"/>
  <c r="D66" i="7"/>
  <c r="T56" i="7"/>
  <c r="D42" i="7"/>
  <c r="D39" i="7"/>
  <c r="D37" i="7"/>
  <c r="T36" i="7"/>
  <c r="D36" i="7"/>
  <c r="D35" i="7"/>
  <c r="D27" i="7"/>
  <c r="D24" i="7"/>
  <c r="D22" i="7"/>
  <c r="D21" i="7"/>
  <c r="D20" i="7"/>
  <c r="T12" i="7"/>
  <c r="B45" i="5"/>
  <c r="E43" i="5"/>
  <c r="C45" i="5" s="1"/>
  <c r="D39" i="5"/>
  <c r="E39" i="5" s="1"/>
  <c r="G39" i="5" s="1"/>
  <c r="AA29" i="5"/>
  <c r="Y29" i="5"/>
  <c r="S29" i="5"/>
  <c r="Q29" i="5"/>
  <c r="T29" i="5" s="1"/>
  <c r="U29" i="5" s="1"/>
  <c r="K29" i="5"/>
  <c r="F29" i="5"/>
  <c r="D29" i="5"/>
  <c r="H29" i="5" s="1"/>
  <c r="C29" i="5"/>
  <c r="AG28" i="5"/>
  <c r="AA28" i="5"/>
  <c r="Y28" i="5"/>
  <c r="S28" i="5"/>
  <c r="Q28" i="5"/>
  <c r="T28" i="5" s="1"/>
  <c r="U28" i="5" s="1"/>
  <c r="K28" i="5"/>
  <c r="F28" i="5"/>
  <c r="D28" i="5"/>
  <c r="H28" i="5" s="1"/>
  <c r="C28" i="5"/>
  <c r="AG27" i="5"/>
  <c r="AB27" i="5"/>
  <c r="AA27" i="5"/>
  <c r="AC27" i="5" s="1"/>
  <c r="AI26" i="5" s="1"/>
  <c r="Y27" i="5"/>
  <c r="S27" i="5"/>
  <c r="Q27" i="5"/>
  <c r="T27" i="5" s="1"/>
  <c r="U27" i="5" s="1"/>
  <c r="F27" i="5"/>
  <c r="D27" i="5"/>
  <c r="H27" i="5" s="1"/>
  <c r="AF26" i="5"/>
  <c r="AB26" i="5"/>
  <c r="AF25" i="5" s="1"/>
  <c r="AA26" i="5"/>
  <c r="AC26" i="5" s="1"/>
  <c r="Y26" i="5"/>
  <c r="Q26" i="5"/>
  <c r="F26" i="5"/>
  <c r="D26" i="5"/>
  <c r="H26" i="5" s="1"/>
  <c r="AI25" i="5"/>
  <c r="AB25" i="5"/>
  <c r="AA25" i="5"/>
  <c r="AC25" i="5" s="1"/>
  <c r="AI24" i="5" s="1"/>
  <c r="Y25" i="5"/>
  <c r="S25" i="5"/>
  <c r="Q25" i="5"/>
  <c r="T25" i="5" s="1"/>
  <c r="U25" i="5" s="1"/>
  <c r="F25" i="5"/>
  <c r="D25" i="5"/>
  <c r="H25" i="5" s="1"/>
  <c r="AJ24" i="5"/>
  <c r="AF24" i="5"/>
  <c r="AB24" i="5"/>
  <c r="AA24" i="5"/>
  <c r="AC24" i="5" s="1"/>
  <c r="AI23" i="5" s="1"/>
  <c r="Y24" i="5"/>
  <c r="S24" i="5"/>
  <c r="Q24" i="5"/>
  <c r="T24" i="5" s="1"/>
  <c r="U24" i="5" s="1"/>
  <c r="K24" i="5"/>
  <c r="AG23" i="5" s="1"/>
  <c r="F24" i="5"/>
  <c r="D24" i="5"/>
  <c r="H24" i="5" s="1"/>
  <c r="AF23" i="5"/>
  <c r="AB23" i="5"/>
  <c r="AA23" i="5"/>
  <c r="Y23" i="5"/>
  <c r="T23" i="5"/>
  <c r="U23" i="5" s="1"/>
  <c r="Q23" i="5"/>
  <c r="S23" i="5" s="1"/>
  <c r="F23" i="5"/>
  <c r="D23" i="5"/>
  <c r="H23" i="5" s="1"/>
  <c r="C23" i="5"/>
  <c r="AC23" i="5" s="1"/>
  <c r="AI22" i="5" s="1"/>
  <c r="AF22" i="5"/>
  <c r="AB22" i="5"/>
  <c r="AA22" i="5"/>
  <c r="Y22" i="5"/>
  <c r="T22" i="5"/>
  <c r="U22" i="5" s="1"/>
  <c r="Q22" i="5"/>
  <c r="S22" i="5" s="1"/>
  <c r="F22" i="5"/>
  <c r="D22" i="5"/>
  <c r="H22" i="5" s="1"/>
  <c r="C22" i="5"/>
  <c r="AC22" i="5" s="1"/>
  <c r="AI21" i="5" s="1"/>
  <c r="AF21" i="5"/>
  <c r="AB21" i="5"/>
  <c r="AA21" i="5"/>
  <c r="AC21" i="5" s="1"/>
  <c r="AI20" i="5" s="1"/>
  <c r="Y21" i="5"/>
  <c r="T21" i="5"/>
  <c r="U21" i="5" s="1"/>
  <c r="Q21" i="5"/>
  <c r="S21" i="5" s="1"/>
  <c r="F21" i="5"/>
  <c r="D21" i="5"/>
  <c r="H21" i="5" s="1"/>
  <c r="AF20" i="5"/>
  <c r="AB20" i="5"/>
  <c r="AA20" i="5"/>
  <c r="AC20" i="5" s="1"/>
  <c r="AI19" i="5" s="1"/>
  <c r="Y20" i="5"/>
  <c r="S20" i="5"/>
  <c r="Q20" i="5"/>
  <c r="T20" i="5" s="1"/>
  <c r="U20" i="5" s="1"/>
  <c r="K20" i="5"/>
  <c r="AG19" i="5" s="1"/>
  <c r="F20" i="5"/>
  <c r="D20" i="5"/>
  <c r="H20" i="5" s="1"/>
  <c r="AF19" i="5"/>
  <c r="AB19" i="5"/>
  <c r="AF18" i="5" s="1"/>
  <c r="AA19" i="5"/>
  <c r="AC19" i="5" s="1"/>
  <c r="AI18" i="5" s="1"/>
  <c r="Y19" i="5"/>
  <c r="T19" i="5"/>
  <c r="U19" i="5" s="1"/>
  <c r="Q19" i="5"/>
  <c r="S19" i="5" s="1"/>
  <c r="F19" i="5"/>
  <c r="D19" i="5"/>
  <c r="H19" i="5" s="1"/>
  <c r="AA18" i="5"/>
  <c r="Y18" i="5"/>
  <c r="S18" i="5"/>
  <c r="Q18" i="5"/>
  <c r="T18" i="5" s="1"/>
  <c r="U18" i="5" s="1"/>
  <c r="F18" i="5"/>
  <c r="D18" i="5"/>
  <c r="H18" i="5" s="1"/>
  <c r="C18" i="5"/>
  <c r="AB17" i="5"/>
  <c r="AA17" i="5"/>
  <c r="AC17" i="5" s="1"/>
  <c r="AI16" i="5" s="1"/>
  <c r="Y17" i="5"/>
  <c r="S17" i="5"/>
  <c r="Q17" i="5"/>
  <c r="T17" i="5" s="1"/>
  <c r="U17" i="5" s="1"/>
  <c r="F17" i="5"/>
  <c r="D17" i="5"/>
  <c r="H17" i="5" s="1"/>
  <c r="AF16" i="5"/>
  <c r="AB16" i="5"/>
  <c r="AF15" i="5" s="1"/>
  <c r="AA16" i="5"/>
  <c r="AC16" i="5" s="1"/>
  <c r="Y16" i="5"/>
  <c r="Q16" i="5"/>
  <c r="S16" i="5" s="1"/>
  <c r="F16" i="5"/>
  <c r="D16" i="5"/>
  <c r="H16" i="5" s="1"/>
  <c r="AI15" i="5"/>
  <c r="AC15" i="5"/>
  <c r="AI14" i="5" s="1"/>
  <c r="AA15" i="5"/>
  <c r="Y15" i="5"/>
  <c r="U15" i="5"/>
  <c r="T15" i="5"/>
  <c r="S15" i="5"/>
  <c r="F15" i="5"/>
  <c r="D15" i="5"/>
  <c r="H15" i="5" s="1"/>
  <c r="C15" i="5"/>
  <c r="AB15" i="5" s="1"/>
  <c r="AF14" i="5"/>
  <c r="AB14" i="5"/>
  <c r="AA14" i="5"/>
  <c r="AC14" i="5" s="1"/>
  <c r="AI13" i="5" s="1"/>
  <c r="Y14" i="5"/>
  <c r="T14" i="5"/>
  <c r="U14" i="5" s="1"/>
  <c r="S14" i="5"/>
  <c r="F14" i="5"/>
  <c r="D14" i="5"/>
  <c r="H14" i="5" s="1"/>
  <c r="J14" i="5" s="1"/>
  <c r="M14" i="5" s="1"/>
  <c r="AJ13" i="5" s="1"/>
  <c r="AF13" i="5"/>
  <c r="AB13" i="5"/>
  <c r="AF12" i="5" s="1"/>
  <c r="AA13" i="5"/>
  <c r="AC13" i="5" s="1"/>
  <c r="Y13" i="5"/>
  <c r="Q13" i="5"/>
  <c r="S13" i="5" s="1"/>
  <c r="F13" i="5"/>
  <c r="D13" i="5"/>
  <c r="H13" i="5" s="1"/>
  <c r="AI12" i="5"/>
  <c r="AC12" i="5"/>
  <c r="AI11" i="5" s="1"/>
  <c r="AA12" i="5"/>
  <c r="Y12" i="5"/>
  <c r="U12" i="5"/>
  <c r="T12" i="5"/>
  <c r="S12" i="5"/>
  <c r="F12" i="5"/>
  <c r="D12" i="5"/>
  <c r="H12" i="5" s="1"/>
  <c r="C12" i="5"/>
  <c r="AB12" i="5" s="1"/>
  <c r="AF11" i="5"/>
  <c r="AA11" i="5"/>
  <c r="AC11" i="5" s="1"/>
  <c r="AI10" i="5" s="1"/>
  <c r="Y11" i="5"/>
  <c r="U11" i="5"/>
  <c r="T11" i="5"/>
  <c r="S11" i="5"/>
  <c r="F11" i="5"/>
  <c r="D11" i="5"/>
  <c r="H11" i="5" s="1"/>
  <c r="C11" i="5"/>
  <c r="AB11" i="5" s="1"/>
  <c r="AF10" i="5" s="1"/>
  <c r="AC10" i="5"/>
  <c r="AA10" i="5"/>
  <c r="Y10" i="5"/>
  <c r="S10" i="5"/>
  <c r="Q10" i="5"/>
  <c r="T10" i="5" s="1"/>
  <c r="U10" i="5" s="1"/>
  <c r="F10" i="5"/>
  <c r="D10" i="5"/>
  <c r="H10" i="5" s="1"/>
  <c r="C10" i="5"/>
  <c r="AI9" i="5"/>
  <c r="AE9" i="5"/>
  <c r="AE10" i="5" s="1"/>
  <c r="AE11" i="5" s="1"/>
  <c r="AB9" i="5"/>
  <c r="AF8" i="5" s="1"/>
  <c r="AA9" i="5"/>
  <c r="AC9" i="5" s="1"/>
  <c r="AI8" i="5" s="1"/>
  <c r="Y9" i="5"/>
  <c r="T9" i="5"/>
  <c r="U9" i="5" s="1"/>
  <c r="Q9" i="5"/>
  <c r="S9" i="5" s="1"/>
  <c r="F9" i="5"/>
  <c r="D9" i="5"/>
  <c r="H9" i="5" s="1"/>
  <c r="AE8" i="5"/>
  <c r="E63" i="4"/>
  <c r="I63" i="4" s="1"/>
  <c r="I64" i="4" s="1"/>
  <c r="D63" i="4"/>
  <c r="J62" i="4"/>
  <c r="F62" i="4"/>
  <c r="E62" i="4"/>
  <c r="I62" i="4" s="1"/>
  <c r="F61" i="4"/>
  <c r="F63" i="4" s="1"/>
  <c r="E61" i="4"/>
  <c r="I61" i="4" s="1"/>
  <c r="J54" i="4"/>
  <c r="I54" i="4"/>
  <c r="E54" i="4"/>
  <c r="D54" i="4"/>
  <c r="F54" i="4" s="1"/>
  <c r="I36" i="4"/>
  <c r="E36" i="4"/>
  <c r="D36" i="4"/>
  <c r="J34" i="4"/>
  <c r="I34" i="4"/>
  <c r="F34" i="4"/>
  <c r="F36" i="4" s="1"/>
  <c r="E34" i="4"/>
  <c r="J33" i="4"/>
  <c r="F33" i="4"/>
  <c r="D32" i="4"/>
  <c r="D31" i="4"/>
  <c r="D27" i="4"/>
  <c r="D14" i="4"/>
  <c r="F12" i="4"/>
  <c r="F31" i="4" s="1"/>
  <c r="E12" i="4"/>
  <c r="D12" i="4"/>
  <c r="F11" i="4"/>
  <c r="E11" i="4"/>
  <c r="D11" i="4"/>
  <c r="A11" i="4"/>
  <c r="D18" i="4" s="1"/>
  <c r="F10" i="4"/>
  <c r="E10" i="4"/>
  <c r="E17" i="4" s="1"/>
  <c r="D10" i="4"/>
  <c r="H21" i="2"/>
  <c r="H20" i="2"/>
  <c r="K16" i="2"/>
  <c r="K33" i="2" s="1"/>
  <c r="J13" i="2"/>
  <c r="J16" i="2" s="1"/>
  <c r="I13" i="2"/>
  <c r="H13" i="2"/>
  <c r="I12" i="2"/>
  <c r="I16" i="2" s="1"/>
  <c r="I32" i="2" s="1"/>
  <c r="H12" i="2"/>
  <c r="G12" i="2"/>
  <c r="F12" i="2"/>
  <c r="H11" i="2"/>
  <c r="G10" i="2"/>
  <c r="G16" i="2" s="1"/>
  <c r="G33" i="2" s="1"/>
  <c r="F10" i="2"/>
  <c r="F9" i="2"/>
  <c r="J29" i="1"/>
  <c r="E29" i="1"/>
  <c r="I29" i="1" s="1"/>
  <c r="J28" i="1"/>
  <c r="I28" i="1"/>
  <c r="J26" i="1"/>
  <c r="J25" i="1"/>
  <c r="N25" i="1" s="1"/>
  <c r="R25" i="1" s="1"/>
  <c r="I25" i="1"/>
  <c r="M25" i="1" s="1"/>
  <c r="Q25" i="1" s="1"/>
  <c r="S25" i="1" s="1"/>
  <c r="W23" i="1" s="1"/>
  <c r="Y22" i="2" s="1"/>
  <c r="E25" i="1"/>
  <c r="J24" i="1"/>
  <c r="N24" i="1" s="1"/>
  <c r="R24" i="1" s="1"/>
  <c r="I24" i="1"/>
  <c r="I26" i="1" s="1"/>
  <c r="J21" i="1"/>
  <c r="E21" i="1"/>
  <c r="I21" i="1" s="1"/>
  <c r="I22" i="1" s="1"/>
  <c r="M20" i="1" s="1"/>
  <c r="Q20" i="1" s="1"/>
  <c r="J20" i="1"/>
  <c r="I20" i="1"/>
  <c r="J17" i="1"/>
  <c r="E17" i="1"/>
  <c r="I17" i="1" s="1"/>
  <c r="J16" i="1"/>
  <c r="J18" i="1" s="1"/>
  <c r="I16" i="1"/>
  <c r="J14" i="1"/>
  <c r="J13" i="1"/>
  <c r="N13" i="1" s="1"/>
  <c r="R13" i="1" s="1"/>
  <c r="I13" i="1"/>
  <c r="M13" i="1" s="1"/>
  <c r="Q13" i="1" s="1"/>
  <c r="S13" i="1" s="1"/>
  <c r="W11" i="1" s="1"/>
  <c r="Y10" i="2" s="1"/>
  <c r="E13" i="1"/>
  <c r="J12" i="1"/>
  <c r="N12" i="1" s="1"/>
  <c r="R12" i="1" s="1"/>
  <c r="I12" i="1"/>
  <c r="I14" i="1" s="1"/>
  <c r="J9" i="1"/>
  <c r="E9" i="1"/>
  <c r="I9" i="1" s="1"/>
  <c r="J8" i="1"/>
  <c r="J10" i="1" s="1"/>
  <c r="I8" i="1"/>
  <c r="F16" i="2" l="1"/>
  <c r="F32" i="2" s="1"/>
  <c r="G12" i="11"/>
  <c r="J32" i="4"/>
  <c r="F30" i="11"/>
  <c r="F34" i="11" s="1"/>
  <c r="I32" i="4"/>
  <c r="D45" i="5"/>
  <c r="E45" i="5" s="1"/>
  <c r="N9" i="1"/>
  <c r="R9" i="1" s="1"/>
  <c r="N17" i="1"/>
  <c r="R17" i="1" s="1"/>
  <c r="F56" i="4"/>
  <c r="F57" i="4" s="1"/>
  <c r="F58" i="4" s="1"/>
  <c r="K9" i="5"/>
  <c r="AG8" i="5" s="1"/>
  <c r="I9" i="5"/>
  <c r="L9" i="5" s="1"/>
  <c r="J9" i="5"/>
  <c r="M9" i="5" s="1"/>
  <c r="I11" i="5"/>
  <c r="L11" i="5" s="1"/>
  <c r="AH10" i="5" s="1"/>
  <c r="J11" i="5"/>
  <c r="M11" i="5" s="1"/>
  <c r="AJ10" i="5" s="1"/>
  <c r="K13" i="5"/>
  <c r="AG12" i="5" s="1"/>
  <c r="I13" i="5"/>
  <c r="L13" i="5" s="1"/>
  <c r="AH12" i="5" s="1"/>
  <c r="I15" i="5"/>
  <c r="L15" i="5" s="1"/>
  <c r="AH14" i="5" s="1"/>
  <c r="J15" i="5"/>
  <c r="K19" i="5"/>
  <c r="AG18" i="5" s="1"/>
  <c r="I19" i="5"/>
  <c r="L19" i="5" s="1"/>
  <c r="AH18" i="5" s="1"/>
  <c r="J19" i="5"/>
  <c r="M19" i="5" s="1"/>
  <c r="AJ18" i="5" s="1"/>
  <c r="I22" i="5"/>
  <c r="L22" i="5" s="1"/>
  <c r="AH21" i="5" s="1"/>
  <c r="J22" i="5"/>
  <c r="M22" i="5" s="1"/>
  <c r="AJ21" i="5" s="1"/>
  <c r="I10" i="1"/>
  <c r="M8" i="1" s="1"/>
  <c r="Q8" i="1" s="1"/>
  <c r="S8" i="1" s="1"/>
  <c r="U7" i="1" s="1"/>
  <c r="W6" i="2" s="1"/>
  <c r="I18" i="1"/>
  <c r="M17" i="1" s="1"/>
  <c r="Q17" i="1" s="1"/>
  <c r="S17" i="1" s="1"/>
  <c r="W15" i="1" s="1"/>
  <c r="Y14" i="2" s="1"/>
  <c r="J32" i="2"/>
  <c r="J30" i="2"/>
  <c r="J28" i="2"/>
  <c r="J33" i="2"/>
  <c r="J31" i="2"/>
  <c r="J29" i="2"/>
  <c r="I12" i="5"/>
  <c r="L12" i="5" s="1"/>
  <c r="AH11" i="5" s="1"/>
  <c r="J12" i="5"/>
  <c r="M12" i="5" s="1"/>
  <c r="AJ11" i="5" s="1"/>
  <c r="K16" i="5"/>
  <c r="AG15" i="5" s="1"/>
  <c r="I16" i="5"/>
  <c r="L16" i="5" s="1"/>
  <c r="AH15" i="5" s="1"/>
  <c r="K21" i="5"/>
  <c r="AG20" i="5" s="1"/>
  <c r="I21" i="5"/>
  <c r="L21" i="5" s="1"/>
  <c r="AH20" i="5" s="1"/>
  <c r="J21" i="5"/>
  <c r="M21" i="5" s="1"/>
  <c r="AJ20" i="5" s="1"/>
  <c r="I23" i="5"/>
  <c r="L23" i="5" s="1"/>
  <c r="AH22" i="5" s="1"/>
  <c r="J23" i="5"/>
  <c r="M23" i="5" s="1"/>
  <c r="AJ22" i="5" s="1"/>
  <c r="N8" i="1"/>
  <c r="R8" i="1" s="1"/>
  <c r="M12" i="1"/>
  <c r="Q12" i="1" s="1"/>
  <c r="S12" i="1" s="1"/>
  <c r="U11" i="1" s="1"/>
  <c r="W10" i="2" s="1"/>
  <c r="N16" i="1"/>
  <c r="R16" i="1" s="1"/>
  <c r="M24" i="1"/>
  <c r="Q24" i="1" s="1"/>
  <c r="S24" i="1" s="1"/>
  <c r="U23" i="1" s="1"/>
  <c r="W22" i="2" s="1"/>
  <c r="F21" i="4"/>
  <c r="F55" i="4" s="1"/>
  <c r="E31" i="4"/>
  <c r="D17" i="4"/>
  <c r="F17" i="4"/>
  <c r="E21" i="4"/>
  <c r="E55" i="4" s="1"/>
  <c r="J36" i="4"/>
  <c r="E41" i="4"/>
  <c r="E32" i="4"/>
  <c r="D41" i="4"/>
  <c r="D43" i="4"/>
  <c r="D47" i="4" s="1"/>
  <c r="D48" i="4" s="1"/>
  <c r="D44" i="4"/>
  <c r="F64" i="4"/>
  <c r="J63" i="4"/>
  <c r="J64" i="4" s="1"/>
  <c r="I65" i="4" s="1"/>
  <c r="E64" i="4"/>
  <c r="E65" i="4" s="1"/>
  <c r="J10" i="5"/>
  <c r="M10" i="5" s="1"/>
  <c r="AJ9" i="5" s="1"/>
  <c r="I10" i="5"/>
  <c r="I14" i="5"/>
  <c r="L14" i="5" s="1"/>
  <c r="AH13" i="5" s="1"/>
  <c r="J17" i="5"/>
  <c r="M17" i="5" s="1"/>
  <c r="AJ16" i="5" s="1"/>
  <c r="I17" i="5"/>
  <c r="L17" i="5" s="1"/>
  <c r="AH16" i="5" s="1"/>
  <c r="AB18" i="5"/>
  <c r="AF17" i="5" s="1"/>
  <c r="L18" i="5"/>
  <c r="AH17" i="5" s="1"/>
  <c r="K18" i="5"/>
  <c r="AG17" i="5" s="1"/>
  <c r="K26" i="5"/>
  <c r="AG25" i="5" s="1"/>
  <c r="I26" i="5"/>
  <c r="L26" i="5" s="1"/>
  <c r="AH25" i="5" s="1"/>
  <c r="J22" i="1"/>
  <c r="N21" i="1" s="1"/>
  <c r="R21" i="1" s="1"/>
  <c r="I30" i="1"/>
  <c r="M28" i="1" s="1"/>
  <c r="Q28" i="1" s="1"/>
  <c r="F32" i="4"/>
  <c r="E44" i="4"/>
  <c r="F44" i="4"/>
  <c r="J61" i="4"/>
  <c r="C31" i="5"/>
  <c r="AB10" i="5"/>
  <c r="AF9" i="5" s="1"/>
  <c r="L10" i="5"/>
  <c r="AH9" i="5" s="1"/>
  <c r="K10" i="5"/>
  <c r="AG9" i="5" s="1"/>
  <c r="T13" i="5"/>
  <c r="U13" i="5" s="1"/>
  <c r="J13" i="5" s="1"/>
  <c r="M13" i="5" s="1"/>
  <c r="AJ12" i="5" s="1"/>
  <c r="K14" i="5"/>
  <c r="AG13" i="5" s="1"/>
  <c r="T16" i="5"/>
  <c r="U16" i="5" s="1"/>
  <c r="J16" i="5" s="1"/>
  <c r="M16" i="5" s="1"/>
  <c r="AJ15" i="5" s="1"/>
  <c r="K17" i="5"/>
  <c r="AG16" i="5" s="1"/>
  <c r="J18" i="5"/>
  <c r="I18" i="5"/>
  <c r="M18" i="5"/>
  <c r="AJ17" i="5" s="1"/>
  <c r="AC18" i="5"/>
  <c r="AI17" i="5" s="1"/>
  <c r="J20" i="5"/>
  <c r="M20" i="5" s="1"/>
  <c r="AJ19" i="5" s="1"/>
  <c r="I20" i="5"/>
  <c r="L20" i="5" s="1"/>
  <c r="AH19" i="5" s="1"/>
  <c r="K25" i="5"/>
  <c r="AG24" i="5" s="1"/>
  <c r="I25" i="5"/>
  <c r="L25" i="5" s="1"/>
  <c r="AH24" i="5" s="1"/>
  <c r="J25" i="5"/>
  <c r="S26" i="5"/>
  <c r="T26" i="5"/>
  <c r="U26" i="5" s="1"/>
  <c r="J26" i="5" s="1"/>
  <c r="M26" i="5" s="1"/>
  <c r="AJ25" i="5" s="1"/>
  <c r="J27" i="5"/>
  <c r="M27" i="5" s="1"/>
  <c r="AJ26" i="5" s="1"/>
  <c r="K27" i="5"/>
  <c r="AG26" i="5" s="1"/>
  <c r="I27" i="5"/>
  <c r="L27" i="5" s="1"/>
  <c r="AH26" i="5" s="1"/>
  <c r="AB28" i="5"/>
  <c r="AF27" i="5" s="1"/>
  <c r="AC28" i="5"/>
  <c r="AI27" i="5" s="1"/>
  <c r="AB29" i="5"/>
  <c r="AF28" i="5" s="1"/>
  <c r="AC29" i="5"/>
  <c r="AI28" i="5" s="1"/>
  <c r="S30" i="8"/>
  <c r="O33" i="8"/>
  <c r="D30" i="11"/>
  <c r="D34" i="11" s="1"/>
  <c r="D35" i="11" s="1"/>
  <c r="D12" i="11"/>
  <c r="C3" i="11"/>
  <c r="C10" i="11" s="1"/>
  <c r="C4" i="11"/>
  <c r="K11" i="5"/>
  <c r="AG10" i="5" s="1"/>
  <c r="K12" i="5"/>
  <c r="AG11" i="5" s="1"/>
  <c r="K15" i="5"/>
  <c r="AG14" i="5" s="1"/>
  <c r="M15" i="5"/>
  <c r="AJ14" i="5" s="1"/>
  <c r="J24" i="5"/>
  <c r="M24" i="5" s="1"/>
  <c r="AJ23" i="5" s="1"/>
  <c r="I24" i="5"/>
  <c r="L24" i="5" s="1"/>
  <c r="AH23" i="5" s="1"/>
  <c r="J28" i="5"/>
  <c r="M28" i="5" s="1"/>
  <c r="AJ27" i="5" s="1"/>
  <c r="I28" i="5"/>
  <c r="L28" i="5" s="1"/>
  <c r="AH27" i="5" s="1"/>
  <c r="J29" i="5"/>
  <c r="M29" i="5" s="1"/>
  <c r="AJ28" i="5" s="1"/>
  <c r="I29" i="5"/>
  <c r="L29" i="5" s="1"/>
  <c r="AH28" i="5" s="1"/>
  <c r="S14" i="8"/>
  <c r="S13" i="8"/>
  <c r="S22" i="8"/>
  <c r="S21" i="8"/>
  <c r="F44" i="11"/>
  <c r="D46" i="11"/>
  <c r="D47" i="11" s="1"/>
  <c r="K22" i="5"/>
  <c r="AG21" i="5" s="1"/>
  <c r="K23" i="5"/>
  <c r="AG22" i="5" s="1"/>
  <c r="D14" i="11"/>
  <c r="D41" i="11" s="1"/>
  <c r="D42" i="11" s="1"/>
  <c r="H16" i="2"/>
  <c r="I29" i="2"/>
  <c r="I33" i="2"/>
  <c r="I31" i="2"/>
  <c r="I28" i="2"/>
  <c r="I30" i="2"/>
  <c r="K28" i="2"/>
  <c r="K29" i="2"/>
  <c r="K30" i="2"/>
  <c r="K31" i="2"/>
  <c r="K32" i="2"/>
  <c r="G30" i="2"/>
  <c r="G28" i="2"/>
  <c r="G32" i="2"/>
  <c r="G29" i="2"/>
  <c r="G31" i="2"/>
  <c r="F31" i="2"/>
  <c r="F33" i="2"/>
  <c r="F30" i="2"/>
  <c r="M21" i="1"/>
  <c r="Q21" i="1" s="1"/>
  <c r="S21" i="1" s="1"/>
  <c r="W19" i="1" s="1"/>
  <c r="Y18" i="2" s="1"/>
  <c r="E47" i="11"/>
  <c r="G46" i="11"/>
  <c r="G47" i="11" s="1"/>
  <c r="D48" i="11"/>
  <c r="D10" i="11"/>
  <c r="D20" i="11"/>
  <c r="C21" i="11"/>
  <c r="D28" i="11"/>
  <c r="D31" i="11"/>
  <c r="G44" i="11"/>
  <c r="F46" i="11"/>
  <c r="C5" i="11"/>
  <c r="C20" i="11" s="1"/>
  <c r="E18" i="11"/>
  <c r="E21" i="11"/>
  <c r="J30" i="1"/>
  <c r="N29" i="1" s="1"/>
  <c r="R29" i="1" s="1"/>
  <c r="M29" i="1"/>
  <c r="Q29" i="1" s="1"/>
  <c r="G31" i="11"/>
  <c r="D40" i="11"/>
  <c r="G7" i="11"/>
  <c r="G28" i="11"/>
  <c r="G30" i="11"/>
  <c r="G34" i="11" s="1"/>
  <c r="G35" i="11" s="1"/>
  <c r="F31" i="11"/>
  <c r="F7" i="11"/>
  <c r="F28" i="11"/>
  <c r="M9" i="1" l="1"/>
  <c r="Q9" i="1" s="1"/>
  <c r="S9" i="1" s="1"/>
  <c r="W7" i="1" s="1"/>
  <c r="Y6" i="2" s="1"/>
  <c r="F28" i="2"/>
  <c r="F29" i="2"/>
  <c r="A25" i="10"/>
  <c r="C21" i="10"/>
  <c r="O15" i="10" s="1"/>
  <c r="C25" i="10"/>
  <c r="F19" i="4"/>
  <c r="F43" i="4"/>
  <c r="F47" i="4" s="1"/>
  <c r="F48" i="4" s="1"/>
  <c r="D50" i="4"/>
  <c r="D42" i="4"/>
  <c r="M16" i="1"/>
  <c r="Q16" i="1" s="1"/>
  <c r="S16" i="1" s="1"/>
  <c r="U15" i="1" s="1"/>
  <c r="W14" i="2" s="1"/>
  <c r="M31" i="5"/>
  <c r="AJ8" i="5"/>
  <c r="F3" i="11"/>
  <c r="G3" i="11"/>
  <c r="E14" i="11"/>
  <c r="E41" i="11" s="1"/>
  <c r="E42" i="11" s="1"/>
  <c r="E43" i="11" s="1"/>
  <c r="F27" i="4"/>
  <c r="N20" i="1"/>
  <c r="R20" i="1" s="1"/>
  <c r="S20" i="1" s="1"/>
  <c r="U19" i="1" s="1"/>
  <c r="W18" i="2" s="1"/>
  <c r="E56" i="4"/>
  <c r="E57" i="4" s="1"/>
  <c r="E43" i="4"/>
  <c r="E47" i="4" s="1"/>
  <c r="E48" i="4" s="1"/>
  <c r="E19" i="4"/>
  <c r="E27" i="4"/>
  <c r="J35" i="2"/>
  <c r="AH8" i="5"/>
  <c r="L31" i="5"/>
  <c r="F41" i="4"/>
  <c r="F42" i="4" s="1"/>
  <c r="H33" i="2"/>
  <c r="L33" i="2" s="1"/>
  <c r="L13" i="2" s="1"/>
  <c r="H32" i="2"/>
  <c r="H30" i="2"/>
  <c r="H29" i="2"/>
  <c r="H28" i="2"/>
  <c r="L28" i="2" s="1"/>
  <c r="L32" i="2"/>
  <c r="L12" i="2" s="1"/>
  <c r="S11" i="2" s="1"/>
  <c r="T11" i="2" s="1"/>
  <c r="H31" i="2"/>
  <c r="I35" i="2"/>
  <c r="K35" i="2"/>
  <c r="P11" i="2"/>
  <c r="Q11" i="2" s="1"/>
  <c r="L30" i="2"/>
  <c r="L10" i="2" s="1"/>
  <c r="S9" i="2" s="1"/>
  <c r="T9" i="2" s="1"/>
  <c r="G35" i="2"/>
  <c r="L31" i="2"/>
  <c r="L11" i="2" s="1"/>
  <c r="P10" i="2" s="1"/>
  <c r="Q10" i="2" s="1"/>
  <c r="F35" i="2"/>
  <c r="S29" i="1"/>
  <c r="W27" i="1" s="1"/>
  <c r="Y26" i="2" s="1"/>
  <c r="E31" i="11"/>
  <c r="E12" i="11"/>
  <c r="E30" i="11"/>
  <c r="E34" i="11" s="1"/>
  <c r="E35" i="11" s="1"/>
  <c r="F47" i="11"/>
  <c r="C31" i="11"/>
  <c r="C30" i="11"/>
  <c r="C34" i="11" s="1"/>
  <c r="C35" i="11" s="1"/>
  <c r="F35" i="11"/>
  <c r="E28" i="11"/>
  <c r="A21" i="10"/>
  <c r="M15" i="10" s="1"/>
  <c r="C28" i="11"/>
  <c r="D29" i="11"/>
  <c r="D18" i="11"/>
  <c r="N28" i="1"/>
  <c r="R28" i="1" s="1"/>
  <c r="S28" i="1" s="1"/>
  <c r="U27" i="1" s="1"/>
  <c r="W26" i="2" s="1"/>
  <c r="G29" i="11"/>
  <c r="I28" i="11" s="1"/>
  <c r="F29" i="11"/>
  <c r="H28" i="11" s="1"/>
  <c r="P9" i="2" l="1"/>
  <c r="Q9" i="2" s="1"/>
  <c r="L29" i="2"/>
  <c r="L9" i="2" s="1"/>
  <c r="P8" i="2" s="1"/>
  <c r="Q8" i="2" s="1"/>
  <c r="G14" i="11"/>
  <c r="C15" i="10" s="1"/>
  <c r="J10" i="4"/>
  <c r="F14" i="11"/>
  <c r="I10" i="4"/>
  <c r="C7" i="10"/>
  <c r="C17" i="10" s="1"/>
  <c r="F4" i="11"/>
  <c r="F5" i="11" s="1"/>
  <c r="A7" i="10"/>
  <c r="A12" i="10" s="1"/>
  <c r="G10" i="11"/>
  <c r="F10" i="11"/>
  <c r="F11" i="11"/>
  <c r="F41" i="11"/>
  <c r="F42" i="11" s="1"/>
  <c r="P12" i="2"/>
  <c r="Q12" i="2" s="1"/>
  <c r="S12" i="2"/>
  <c r="G11" i="11"/>
  <c r="G4" i="11"/>
  <c r="G5" i="11" s="1"/>
  <c r="E40" i="11"/>
  <c r="E29" i="11"/>
  <c r="E42" i="4"/>
  <c r="A17" i="10"/>
  <c r="H35" i="2"/>
  <c r="S8" i="2"/>
  <c r="T8" i="2" s="1"/>
  <c r="S10" i="2"/>
  <c r="T10" i="2" s="1"/>
  <c r="T12" i="2"/>
  <c r="L35" i="2"/>
  <c r="L8" i="2"/>
  <c r="C29" i="11"/>
  <c r="F48" i="11"/>
  <c r="G16" i="11" l="1"/>
  <c r="J25" i="4" s="1"/>
  <c r="P25" i="10"/>
  <c r="P24" i="10"/>
  <c r="F16" i="11"/>
  <c r="G40" i="11"/>
  <c r="G15" i="11"/>
  <c r="J24" i="4" s="1"/>
  <c r="G17" i="11"/>
  <c r="G41" i="11"/>
  <c r="G42" i="11" s="1"/>
  <c r="G43" i="11" s="1"/>
  <c r="I13" i="10" s="1"/>
  <c r="F20" i="11"/>
  <c r="F17" i="11"/>
  <c r="I26" i="4" s="1"/>
  <c r="F15" i="11"/>
  <c r="I24" i="4" s="1"/>
  <c r="I25" i="4"/>
  <c r="I11" i="4"/>
  <c r="I12" i="4" s="1"/>
  <c r="I18" i="4"/>
  <c r="I17" i="4"/>
  <c r="J18" i="4"/>
  <c r="J17" i="4"/>
  <c r="J11" i="4"/>
  <c r="J12" i="4" s="1"/>
  <c r="A15" i="10"/>
  <c r="F40" i="11"/>
  <c r="C12" i="10"/>
  <c r="A11" i="10"/>
  <c r="C11" i="10"/>
  <c r="G20" i="11"/>
  <c r="L16" i="2"/>
  <c r="M13" i="2"/>
  <c r="N13" i="2" s="1"/>
  <c r="M11" i="2"/>
  <c r="N11" i="2" s="1"/>
  <c r="M10" i="2"/>
  <c r="N10" i="2" s="1"/>
  <c r="S7" i="2"/>
  <c r="T7" i="2" s="1"/>
  <c r="T13" i="2" s="1"/>
  <c r="T14" i="2" s="1"/>
  <c r="P7" i="2"/>
  <c r="Q7" i="2" s="1"/>
  <c r="Q13" i="2" s="1"/>
  <c r="Q14" i="2" s="1"/>
  <c r="M9" i="2"/>
  <c r="N9" i="2" s="1"/>
  <c r="M8" i="2"/>
  <c r="N8" i="2" s="1"/>
  <c r="M12" i="2"/>
  <c r="N12" i="2" s="1"/>
  <c r="F43" i="11"/>
  <c r="H13" i="10" s="1"/>
  <c r="G18" i="11" l="1"/>
  <c r="O22" i="10" s="1"/>
  <c r="J26" i="4"/>
  <c r="M23" i="10"/>
  <c r="O23" i="10"/>
  <c r="J31" i="4"/>
  <c r="I31" i="4"/>
  <c r="J21" i="4"/>
  <c r="I21" i="4"/>
  <c r="F18" i="2"/>
  <c r="F21" i="2" s="1"/>
  <c r="F24" i="2" s="1"/>
  <c r="H24" i="2" s="1"/>
  <c r="F18" i="11"/>
  <c r="M22" i="10" s="1"/>
  <c r="I27" i="4" l="1"/>
  <c r="J27" i="4"/>
  <c r="I14" i="4"/>
  <c r="I19" i="4"/>
  <c r="J14" i="4"/>
  <c r="J19" i="4"/>
  <c r="I56" i="4"/>
  <c r="I57" i="4" s="1"/>
  <c r="I58" i="4" s="1"/>
  <c r="I55" i="4"/>
  <c r="J55" i="4"/>
  <c r="J56" i="4"/>
  <c r="J57" i="4" s="1"/>
  <c r="J58" i="4" s="1"/>
  <c r="I41" i="4"/>
  <c r="I43" i="4"/>
  <c r="I47" i="4" s="1"/>
  <c r="I48" i="4" s="1"/>
  <c r="I44" i="4"/>
  <c r="J44" i="4"/>
  <c r="J43" i="4"/>
  <c r="J47" i="4" s="1"/>
  <c r="J48" i="4" s="1"/>
  <c r="J41" i="4"/>
  <c r="F25" i="2"/>
  <c r="J42" i="4" l="1"/>
  <c r="I42" i="4"/>
</calcChain>
</file>

<file path=xl/comments1.xml><?xml version="1.0" encoding="utf-8"?>
<comments xmlns="http://schemas.openxmlformats.org/spreadsheetml/2006/main">
  <authors>
    <author>Autor</author>
  </authors>
  <commentList>
    <comment ref="M11" authorId="0" shapeId="0">
      <text>
        <r>
          <rPr>
            <b/>
            <sz val="9"/>
            <color indexed="81"/>
            <rFont val="Tahoma"/>
            <family val="2"/>
          </rPr>
          <t>Lucas:</t>
        </r>
        <r>
          <rPr>
            <sz val="9"/>
            <color indexed="81"/>
            <rFont val="Tahoma"/>
            <family val="2"/>
          </rPr>
          <t xml:space="preserve">
MATRIZ PROD X MATRIZ PML</t>
        </r>
      </text>
    </comment>
  </commentList>
</comments>
</file>

<file path=xl/sharedStrings.xml><?xml version="1.0" encoding="utf-8"?>
<sst xmlns="http://schemas.openxmlformats.org/spreadsheetml/2006/main" count="1178" uniqueCount="417">
  <si>
    <t>COMPARAÇÃO PAR A PAR</t>
  </si>
  <si>
    <t>SOMA DAS COLUNAS</t>
  </si>
  <si>
    <t>NORMALIZAÇÃO</t>
  </si>
  <si>
    <t>PRIORIDADE MÉDIA LOCAL</t>
  </si>
  <si>
    <t>MM</t>
  </si>
  <si>
    <t>LA</t>
  </si>
  <si>
    <t>LB</t>
  </si>
  <si>
    <t>PML</t>
  </si>
  <si>
    <t>CI</t>
  </si>
  <si>
    <t>PAY</t>
  </si>
  <si>
    <t>PROD</t>
  </si>
  <si>
    <t>RC</t>
  </si>
  <si>
    <t>QUAL</t>
  </si>
  <si>
    <t>ANÁLISE GERAL DAS AVALIAÇÕES</t>
  </si>
  <si>
    <t>Valores para validação</t>
  </si>
  <si>
    <t>FOCO PRINCIPAL</t>
  </si>
  <si>
    <t>PML (a)</t>
  </si>
  <si>
    <t>Vetor Aa</t>
  </si>
  <si>
    <t>Aa/a</t>
  </si>
  <si>
    <t>SOMATÓRIO</t>
  </si>
  <si>
    <t>ʎ-max</t>
  </si>
  <si>
    <t>IC</t>
  </si>
  <si>
    <t>(ʎ-max-N)/N-1</t>
  </si>
  <si>
    <t>IC/IR</t>
  </si>
  <si>
    <t>valor</t>
  </si>
  <si>
    <t>%</t>
  </si>
  <si>
    <t>VEL.</t>
  </si>
  <si>
    <t>CARACTERÍSTICAS DOS LAYOUTS A E B EM RELAÇÃO AO MODELO ATUAL.</t>
  </si>
  <si>
    <t>O TEMPO ANTES DA PINTURA PRECISA TER 5 MIN PARA A TERMPERATURA DE +- 115°C SER RESPEITADA</t>
  </si>
  <si>
    <t>RPM</t>
  </si>
  <si>
    <t>PRODUTIVIDADE TEÓRICA</t>
  </si>
  <si>
    <t>ATUAL</t>
  </si>
  <si>
    <t>MESMA VELOCIDADE</t>
  </si>
  <si>
    <t>FOCO NA VELOCIDADE</t>
  </si>
  <si>
    <t>LAYOUT A</t>
  </si>
  <si>
    <t>LAYOUT B</t>
  </si>
  <si>
    <t>VEL.NOVA</t>
  </si>
  <si>
    <t>PRODUÇÃO TURNO</t>
  </si>
  <si>
    <t>PRODUÇÃO HORA</t>
  </si>
  <si>
    <t>PRODUÇÃO MIN.</t>
  </si>
  <si>
    <t>TURNO DE TRABALHO EM MIN</t>
  </si>
  <si>
    <t>TEMPO PARA COMPLETAR UMA VOLTA</t>
  </si>
  <si>
    <t>UMA HORA EM MIN</t>
  </si>
  <si>
    <t>UMA VOLTA COMPLETA EM PEÇAS</t>
  </si>
  <si>
    <t>Nº DE VOLTAS POR TURNO</t>
  </si>
  <si>
    <t>RPM DA LINHA</t>
  </si>
  <si>
    <t>VELOCIDADE DA LINHA EM M/MIN</t>
  </si>
  <si>
    <t>TEMPERATURA DA LINHA EM °C</t>
  </si>
  <si>
    <t>PERCENTUAL DE MELHORIA SOBRE O LAYOUT ATUAL</t>
  </si>
  <si>
    <t>MÃO DE OBRA NECESSÁRIA POR PRODUÇÃO</t>
  </si>
  <si>
    <t>HOMENS TRABALHANDO NA CARGA</t>
  </si>
  <si>
    <t>HOMENS TRABALHANDO NA DESCARGA</t>
  </si>
  <si>
    <t>HOMENS SUBSTTUINDO GANCHOS COM EXCESSO DE TINTA</t>
  </si>
  <si>
    <t>HOMEM HORA</t>
  </si>
  <si>
    <t>CARACTERÍSTICAS</t>
  </si>
  <si>
    <t>DISTÂNCIA ENTRE FIXADORES (mm)</t>
  </si>
  <si>
    <t>DISTÂNCIA TOTAL EM 1 MIN DE TRAB.</t>
  </si>
  <si>
    <t>VELOCIDADE LINEAR EM M/MIN</t>
  </si>
  <si>
    <t>METROS DE CORRENTE DENTRO DA ESTUFA DEPOIS DA PINTURA</t>
  </si>
  <si>
    <t>METROS DE CORRENTE DENTRO DA ESTUFA ANTES DA PINTURA</t>
  </si>
  <si>
    <t>METROS DE CORRENTE FORA DA ESTUFA</t>
  </si>
  <si>
    <t>METROS TOTAIS EM CORRENTE</t>
  </si>
  <si>
    <t>ROLOS DE DESVIO</t>
  </si>
  <si>
    <t>DIMENSÕES INTERNAS</t>
  </si>
  <si>
    <t>22X2,1</t>
  </si>
  <si>
    <t>19X3,7</t>
  </si>
  <si>
    <t>11X2</t>
  </si>
  <si>
    <t>CONTROLE OPERACIONAL</t>
  </si>
  <si>
    <t>TEMPO TOTAL DE UMA VOLTA COMPLETA</t>
  </si>
  <si>
    <t>TEMPO DO FIXADOR FORA DA ESTUFA</t>
  </si>
  <si>
    <t>TEMPO DO FIXADOR DEPOIS DA PINTURA DENTRO DA ESTUFA</t>
  </si>
  <si>
    <t>TEMPO DO FIXADOR ANTES DA PINTURA DENTRO DA ESTUFA</t>
  </si>
  <si>
    <t>TEMPO PARA IR DE 100°C ATÉ 200°C (GRÁFICO EMPRESTINTA)</t>
  </si>
  <si>
    <r>
      <t xml:space="preserve">TEMPO NECESSÁRIO DE POLIMERIZAÇÃO EM MIN A 200°C/ </t>
    </r>
    <r>
      <rPr>
        <sz val="11"/>
        <color rgb="FFFF0000"/>
        <rFont val="Calibri"/>
        <family val="2"/>
      </rPr>
      <t>fabricante</t>
    </r>
  </si>
  <si>
    <r>
      <t xml:space="preserve">TEMPO DE POLIMERIZAÇÃO EM MIN A 200°C/ </t>
    </r>
    <r>
      <rPr>
        <sz val="11"/>
        <color rgb="FFFF0000"/>
        <rFont val="Calibri"/>
        <family val="2"/>
      </rPr>
      <t>real (5min)-fabricante</t>
    </r>
  </si>
  <si>
    <r>
      <t xml:space="preserve">TEMPO DE POLIMERIZAÇÃO EM MIN A 200°C/ </t>
    </r>
    <r>
      <rPr>
        <sz val="11"/>
        <color rgb="FFFF0000"/>
        <rFont val="Calibri"/>
        <family val="2"/>
      </rPr>
      <t>real (2,5min)-gráfico</t>
    </r>
  </si>
  <si>
    <t>TEMPERATURA DO FIXADOR ANTES DA PINTURA</t>
  </si>
  <si>
    <t>110-120°C</t>
  </si>
  <si>
    <t>TEMPERATURA DO FIXADOR DEPOIS DA PINTURA</t>
  </si>
  <si>
    <t>200°C</t>
  </si>
  <si>
    <t>INVESTIMENTO INICIAL</t>
  </si>
  <si>
    <t>INVESTIMENTO</t>
  </si>
  <si>
    <t>RECEITA DO TRIMESTRE DIVIDO POR MÊS - R$ 792.646,34</t>
  </si>
  <si>
    <t>AUMENTO SIMULADO PERCENTUAL</t>
  </si>
  <si>
    <t>AUMENTO SIMULADO DO VALOR</t>
  </si>
  <si>
    <t>DIFERENÇA</t>
  </si>
  <si>
    <t>PAYBACK SIMPLES MESES</t>
  </si>
  <si>
    <t>REDUÇÃO DE CUSTO COM CONSUMO DE ENERGIA</t>
  </si>
  <si>
    <t>CONSUMO ELÉTRICO -RESISTÊNCIA</t>
  </si>
  <si>
    <t xml:space="preserve">CONSUMO A GÁS - QUEIMADORES </t>
  </si>
  <si>
    <t>TOTAL</t>
  </si>
  <si>
    <t>REDUÇÃO EM 1 ANO</t>
  </si>
  <si>
    <r>
      <t xml:space="preserve">PERCENTUAL DE AUMENTO DO LAYOUT </t>
    </r>
    <r>
      <rPr>
        <b/>
        <sz val="11"/>
        <color theme="1"/>
        <rFont val="Calibri"/>
        <family val="2"/>
        <scheme val="minor"/>
      </rPr>
      <t>(A)</t>
    </r>
    <r>
      <rPr>
        <sz val="11"/>
        <color theme="1"/>
        <rFont val="Calibri"/>
        <family val="2"/>
        <scheme val="minor"/>
      </rPr>
      <t xml:space="preserve"> EM RELAÇÃO AO </t>
    </r>
    <r>
      <rPr>
        <b/>
        <sz val="11"/>
        <color theme="1"/>
        <rFont val="Calibri"/>
        <family val="2"/>
        <scheme val="minor"/>
      </rPr>
      <t>(B)</t>
    </r>
  </si>
  <si>
    <t>QTD</t>
  </si>
  <si>
    <t>LEVANTAMENTO DE DADOS</t>
  </si>
  <si>
    <t>PROJETO</t>
  </si>
  <si>
    <t>DIAS</t>
  </si>
  <si>
    <t>A</t>
  </si>
  <si>
    <t>B</t>
  </si>
  <si>
    <t>C</t>
  </si>
  <si>
    <t>D</t>
  </si>
  <si>
    <t>E</t>
  </si>
  <si>
    <t>OPERADOR</t>
  </si>
  <si>
    <t>DIA</t>
  </si>
  <si>
    <t>QTD.</t>
  </si>
  <si>
    <t>VEL. REAL</t>
  </si>
  <si>
    <t>M.O</t>
  </si>
  <si>
    <t>HH</t>
  </si>
  <si>
    <t>QTD. ESPERADA</t>
  </si>
  <si>
    <t>PROD. OCIOSA 10%</t>
  </si>
  <si>
    <t>PROD. OCIOSA REAL</t>
  </si>
  <si>
    <t>REND. QTD. ESP.</t>
  </si>
  <si>
    <t>REND. OCIOSIDADE  DE 10%</t>
  </si>
  <si>
    <t>REND. OCIOSIDADE REAL</t>
  </si>
  <si>
    <t>ALMOÇO</t>
  </si>
  <si>
    <t>INÍCIO PARADA</t>
  </si>
  <si>
    <t>FINAL PARADA</t>
  </si>
  <si>
    <t>PARADAS</t>
  </si>
  <si>
    <t>TURNO</t>
  </si>
  <si>
    <t>TRABALHO</t>
  </si>
  <si>
    <t>OCIOSIDADE REAL</t>
  </si>
  <si>
    <t>REND. OCIOSIDADE REAL n°</t>
  </si>
  <si>
    <t>QTD PROJETO</t>
  </si>
  <si>
    <t>VEL. PROJETO</t>
  </si>
  <si>
    <t>MÃO DE OBRA</t>
  </si>
  <si>
    <t>RPM PROJETO</t>
  </si>
  <si>
    <t>OCIOSIDADE 10%</t>
  </si>
  <si>
    <t>REND. PROJETO</t>
  </si>
  <si>
    <t>REND. OCIOSIDADE DE 10% DO PROJ.</t>
  </si>
  <si>
    <t>MÉDIA</t>
  </si>
  <si>
    <t>EM RELAÇÃO AO PROJETO</t>
  </si>
  <si>
    <t>EM RELAÇÃO À QUANTIDADE ESPERADA DE ACORDO COM A VELOCIDADE DA LINHA</t>
  </si>
  <si>
    <t>EM RELAÇÃO À OCIOSADE DE 10% DA QUANTIDADE ESPERADA DE ACORDO COM A VELOCIDADE DA LINHA</t>
  </si>
  <si>
    <t>TEMPO</t>
  </si>
  <si>
    <t>ESP.</t>
  </si>
  <si>
    <t>EM RELAÇÃO À OCIOSIDADE DE 10% DO PROJETO</t>
  </si>
  <si>
    <t>EM RELAÇÃO À OCIOSIDADE REAL</t>
  </si>
  <si>
    <t>REPAS.</t>
  </si>
  <si>
    <t>(X) REPASSE</t>
  </si>
  <si>
    <t>PROD.</t>
  </si>
  <si>
    <t>DIFER.</t>
  </si>
  <si>
    <t>PERCENTUAL</t>
  </si>
  <si>
    <t>PRODUTOS</t>
  </si>
  <si>
    <t>PED.</t>
  </si>
  <si>
    <t>REV</t>
  </si>
  <si>
    <t>item</t>
  </si>
  <si>
    <t>qtd</t>
  </si>
  <si>
    <t>chs</t>
  </si>
  <si>
    <t>ANO</t>
  </si>
  <si>
    <t>MÊS</t>
  </si>
  <si>
    <t>CJ</t>
  </si>
  <si>
    <t>R$ venda conj.</t>
  </si>
  <si>
    <t>R$ compra cj.</t>
  </si>
  <si>
    <t>MCU -cj</t>
  </si>
  <si>
    <t>total</t>
  </si>
  <si>
    <t xml:space="preserve">100CSE220120   </t>
  </si>
  <si>
    <t>DEZEMBRO</t>
  </si>
  <si>
    <t xml:space="preserve">100CSE220150   </t>
  </si>
  <si>
    <t xml:space="preserve">TLCE220220  </t>
  </si>
  <si>
    <t xml:space="preserve">TLCE220220F    </t>
  </si>
  <si>
    <t>38955</t>
  </si>
  <si>
    <t>TLCE270240</t>
  </si>
  <si>
    <t>TLCE270240F</t>
  </si>
  <si>
    <t xml:space="preserve">100CSE340280 E </t>
  </si>
  <si>
    <t xml:space="preserve">100CSE220200   </t>
  </si>
  <si>
    <t xml:space="preserve">100CSE340270   </t>
  </si>
  <si>
    <t>TLCE220220</t>
  </si>
  <si>
    <t>JANEIRO</t>
  </si>
  <si>
    <t xml:space="preserve">TLCE270240     </t>
  </si>
  <si>
    <t xml:space="preserve">TLCE270240F     </t>
  </si>
  <si>
    <t xml:space="preserve">100CSE220180   </t>
  </si>
  <si>
    <t xml:space="preserve">100CSE220100   </t>
  </si>
  <si>
    <t xml:space="preserve">100CSE340250 E </t>
  </si>
  <si>
    <t xml:space="preserve">100CSE220220   </t>
  </si>
  <si>
    <t xml:space="preserve">TLCE340220     </t>
  </si>
  <si>
    <t xml:space="preserve">TLCE340220F     </t>
  </si>
  <si>
    <t xml:space="preserve">TLCE270240   </t>
  </si>
  <si>
    <t xml:space="preserve">TLCE270240F    </t>
  </si>
  <si>
    <t xml:space="preserve">TLCE340140     </t>
  </si>
  <si>
    <t xml:space="preserve">TLCE340140F     </t>
  </si>
  <si>
    <t>NOVEMBRO</t>
  </si>
  <si>
    <t xml:space="preserve">TLCE270300     </t>
  </si>
  <si>
    <t xml:space="preserve">TLCE270300F     </t>
  </si>
  <si>
    <t xml:space="preserve">TLCE270120     </t>
  </si>
  <si>
    <t xml:space="preserve">152CE27030504E </t>
  </si>
  <si>
    <t xml:space="preserve">152CE27030510E </t>
  </si>
  <si>
    <t xml:space="preserve">TLCE270120F     </t>
  </si>
  <si>
    <t xml:space="preserve">TLCE270160     </t>
  </si>
  <si>
    <t xml:space="preserve">TLCE270160F     </t>
  </si>
  <si>
    <t xml:space="preserve">100CSE270240 E </t>
  </si>
  <si>
    <t>OUTUBRO</t>
  </si>
  <si>
    <t>3 MESES</t>
  </si>
  <si>
    <t>2 MESES</t>
  </si>
  <si>
    <t>1 MESES</t>
  </si>
  <si>
    <t>novembro</t>
  </si>
  <si>
    <t>epoxy</t>
  </si>
  <si>
    <t>preto</t>
  </si>
  <si>
    <t>galv</t>
  </si>
  <si>
    <t>percentual E</t>
  </si>
  <si>
    <t>percentual G</t>
  </si>
  <si>
    <t>percentual P</t>
  </si>
  <si>
    <t>abril</t>
  </si>
  <si>
    <t>INÍCIO</t>
  </si>
  <si>
    <t>VANTAGENS DO LAYOUT A</t>
  </si>
  <si>
    <t>Comprimento = 19 metros</t>
  </si>
  <si>
    <t>Proximidade da carga e descarga de chapas.</t>
  </si>
  <si>
    <t>Largura externa = 4,2 metros</t>
  </si>
  <si>
    <t>LACHE</t>
  </si>
  <si>
    <t>Proximidade do almoxarifado de fixadores, ou seja menor tempo com movimentação e maior produtividade e agilidade.</t>
  </si>
  <si>
    <t>Largura interna = 3,7 metros</t>
  </si>
  <si>
    <t>PINTURA DE FIXADORES</t>
  </si>
  <si>
    <t>FINAL</t>
  </si>
  <si>
    <t>Todo o custo de funcionamento de uma segunda linha de pintura iria ser excluído, e a energia consumida ia ser apenas da linha de pintura de chapas.</t>
  </si>
  <si>
    <t>CARGA DESCARGA</t>
  </si>
  <si>
    <t>Menor movimentação de material.</t>
  </si>
  <si>
    <t>O custo de implementação poderia ficar em aproximadamente 50 mil, ou menos, pois temos muita coisa da linha atual para aproveitar.</t>
  </si>
  <si>
    <t>O espaço hoje utilizado na linha que fica dentro da fábrica poderia ser poderia ser utilizado de maneira mais eficiente para outros objetivos.</t>
  </si>
  <si>
    <t>A produtividade vai aumentar, pois a velocidade de pintura teria que ser maior em virtude da temperatura da linha de chapas que hoje fica em 230°C.</t>
  </si>
  <si>
    <t>Maior qualidade na pintura dos fixadores em virtude do tempo de cura que atende as especifícações do fornecedor</t>
  </si>
  <si>
    <t>230°C</t>
  </si>
  <si>
    <t>INFORMAÇÕES PARA IMPLEMENTAÇÃO DO PROJETO</t>
  </si>
  <si>
    <t>unidade</t>
  </si>
  <si>
    <t>Análise do estoque de segurança, necessidade de um pulmão de fixadores pintados para atender as necessidade de pedidos enquanto a linha estiver em melhorias.</t>
  </si>
  <si>
    <t>Velocidade da linha</t>
  </si>
  <si>
    <t>m/min</t>
  </si>
  <si>
    <t>Necessidade de um estudo de previsão de demanda, para estipular a quantidade do estoque de segurança.</t>
  </si>
  <si>
    <t>Produção hora</t>
  </si>
  <si>
    <t>peças</t>
  </si>
  <si>
    <t>Calcular tempo de cura da pintura eletrostática.</t>
  </si>
  <si>
    <t>Produção turno</t>
  </si>
  <si>
    <t>Análisar velocidade ideal da linha para cada tipo de fixador.</t>
  </si>
  <si>
    <t>Temperatura da linha</t>
  </si>
  <si>
    <t>°C</t>
  </si>
  <si>
    <t>Análisar a possobilidade de uma velocidade padrão da linha para todos os fixadores.</t>
  </si>
  <si>
    <t>Dimensões da linha (M)</t>
  </si>
  <si>
    <t>METROS</t>
  </si>
  <si>
    <t>PINTURA DE CHAPAS</t>
  </si>
  <si>
    <t>Análisar a estrutura mecânica e verificar um meio de fixar a estrutura de movimentação dos fixadores.</t>
  </si>
  <si>
    <t>Tempo de cura</t>
  </si>
  <si>
    <t>5 MIN</t>
  </si>
  <si>
    <t>Possível problemas com movimentação dentro da estufa na realização de manutenções, ou liberação da linha em virtude de travamentos.</t>
  </si>
  <si>
    <t>O fixador precisa estar bem aquecido para que a tinta fixe na superfície da peça, a pintura é em virtude de eletrostática, é em virtude do calor.</t>
  </si>
  <si>
    <t>Aumento de produção</t>
  </si>
  <si>
    <t>A limpeza da estufa deverá ser constante para impedir acumulo de tinta na base da estufa, o acumulo de pó pode gerar pontos de incêndio.</t>
  </si>
  <si>
    <t>Os fixadores devem ser pintados apenas quando as chapas estiverem em produção, pintar os fixadores sem as chapas poderá gerar um custo de uma linha. completa.</t>
  </si>
  <si>
    <t>180°c</t>
  </si>
  <si>
    <t>VANTAGENS DO LAYOUT B</t>
  </si>
  <si>
    <t>Dimensões da linha</t>
  </si>
  <si>
    <t>Comprimento = 11 metros</t>
  </si>
  <si>
    <t>Análisar a possobilidade de uma velocidade padrão da linha para todos os fixadores</t>
  </si>
  <si>
    <t>Largura externa= 2 metros</t>
  </si>
  <si>
    <t>A qualidade da pintura pode sair comprometida, pois o tempo de cura é menor que o específicado pelo fabricante (trabalho sem fator de segurança)</t>
  </si>
  <si>
    <t>Largura interna= 1,8 metros</t>
  </si>
  <si>
    <t>VANTAGENS DO LAYOUT ATUAL</t>
  </si>
  <si>
    <t>LAYOUT ATUAL</t>
  </si>
  <si>
    <t>260°C</t>
  </si>
  <si>
    <t>Comprimento = 22 metros</t>
  </si>
  <si>
    <t>Largura externa = 3 metros</t>
  </si>
  <si>
    <t>Largura interna = 2,1 metros</t>
  </si>
  <si>
    <t>Tempo de cura à 200°C</t>
  </si>
  <si>
    <t>Dados levantados em</t>
  </si>
  <si>
    <t>Atualização A</t>
  </si>
  <si>
    <t>CHEGADA</t>
  </si>
  <si>
    <t>Atualização B</t>
  </si>
  <si>
    <t>AQUECIMENTO</t>
  </si>
  <si>
    <t>LANCHE</t>
  </si>
  <si>
    <t>Valor</t>
  </si>
  <si>
    <t>Unidade</t>
  </si>
  <si>
    <t>Tabela 1 - Características da linha atual - Fonte: Autor</t>
  </si>
  <si>
    <t>RELAÇÃO</t>
  </si>
  <si>
    <t>PESO</t>
  </si>
  <si>
    <t>PRODUTIVIDADE</t>
  </si>
  <si>
    <t>IMPORTÂNCIA</t>
  </si>
  <si>
    <t>REDUÇÃO DE CUSTO MENSAL</t>
  </si>
  <si>
    <t>IGUAL</t>
  </si>
  <si>
    <t>Pronto</t>
  </si>
  <si>
    <t>Pedido</t>
  </si>
  <si>
    <t>Cliente</t>
  </si>
  <si>
    <t>Cod item</t>
  </si>
  <si>
    <t>Num ordem</t>
  </si>
  <si>
    <t>Cod operac</t>
  </si>
  <si>
    <t>data entrega</t>
  </si>
  <si>
    <t>Qtd planej</t>
  </si>
  <si>
    <t>Qtd boas</t>
  </si>
  <si>
    <t>QUALIDADE NA PINTURA</t>
  </si>
  <si>
    <t>MODERADA</t>
  </si>
  <si>
    <t>EPOXY</t>
  </si>
  <si>
    <t>CONSORCIO TIISA/CONSBEM/SERVENG</t>
  </si>
  <si>
    <t>TLI090200E</t>
  </si>
  <si>
    <t>EPOX</t>
  </si>
  <si>
    <t>PRODUTO (A)</t>
  </si>
  <si>
    <t xml:space="preserve">QTD </t>
  </si>
  <si>
    <t xml:space="preserve"> DIAS </t>
  </si>
  <si>
    <t xml:space="preserve"> TURNOS </t>
  </si>
  <si>
    <t xml:space="preserve"> TOTAL DIAS </t>
  </si>
  <si>
    <t>CUSTO DE IMPLEMENTAÇÃO</t>
  </si>
  <si>
    <t>FORTE</t>
  </si>
  <si>
    <t>TLI090200FE</t>
  </si>
  <si>
    <t>PR 5/8 X 1 1/2 EPOXY</t>
  </si>
  <si>
    <t>TEMPO DE PAYBACK</t>
  </si>
  <si>
    <t>MUITO FORTE</t>
  </si>
  <si>
    <t>TLI090320E</t>
  </si>
  <si>
    <t>PO 5/8 EPOXY</t>
  </si>
  <si>
    <t>CUSTO DE MÃO DE OBRA</t>
  </si>
  <si>
    <t>ABSOLUTA</t>
  </si>
  <si>
    <t>TLI090320FE</t>
  </si>
  <si>
    <t>PQ 5/8 X 1 1/2 EPOXY</t>
  </si>
  <si>
    <t>MOVIMENTAÇÃO DE MATERIAL</t>
  </si>
  <si>
    <t>VIA ENGENHARIA S.A</t>
  </si>
  <si>
    <t>TLI120320E</t>
  </si>
  <si>
    <t>TLI120320FE</t>
  </si>
  <si>
    <t>INTERMEDIÁRIOS</t>
  </si>
  <si>
    <t>TLI100320E</t>
  </si>
  <si>
    <t>ENTRE IGUAL E MODERADA</t>
  </si>
  <si>
    <t>TLI100320FE</t>
  </si>
  <si>
    <t>ENTRE MODERADA E FORTE</t>
  </si>
  <si>
    <t>PRODUTO (B)</t>
  </si>
  <si>
    <t xml:space="preserve">TURNOS </t>
  </si>
  <si>
    <t>ENTRE FORTE E MUITO FORTE</t>
  </si>
  <si>
    <t xml:space="preserve">PA 1/2 X 7/8 EPOXY </t>
  </si>
  <si>
    <t>ENTRE MUITO FORTE E ABSOLUTA</t>
  </si>
  <si>
    <t>TLI070320E</t>
  </si>
  <si>
    <t>PO 1/2 EPOXY</t>
  </si>
  <si>
    <t>TLI070320FE</t>
  </si>
  <si>
    <t>PA 1/2 X 1 EPOXY</t>
  </si>
  <si>
    <t>TLI120240E</t>
  </si>
  <si>
    <t>TLI120240FE</t>
  </si>
  <si>
    <t>PREFEITURA MUNICIPIO DE PORTO VELHO-</t>
  </si>
  <si>
    <t>MNE1410050200</t>
  </si>
  <si>
    <t>MNE1010050250</t>
  </si>
  <si>
    <t>MUNICIPIO DE CACOAL</t>
  </si>
  <si>
    <t>PRODUTO ©</t>
  </si>
  <si>
    <t>MNE1010050160</t>
  </si>
  <si>
    <t>PA 3/4 X 3 EPOXY</t>
  </si>
  <si>
    <t>MNE1010060160</t>
  </si>
  <si>
    <t>PA 3/4 X 1 1/2 EPOXY</t>
  </si>
  <si>
    <t>MNE1010040280</t>
  </si>
  <si>
    <t>PA 3/4 X 1 1/4 EPOXY</t>
  </si>
  <si>
    <t>MNE1010060280</t>
  </si>
  <si>
    <t>PO 3/4 EPOXY</t>
  </si>
  <si>
    <t>MUNICIPIO DE COLORADO DO OESTE</t>
  </si>
  <si>
    <t xml:space="preserve">TOTAL </t>
  </si>
  <si>
    <t>MPE1212100305</t>
  </si>
  <si>
    <t>MPE1212060305</t>
  </si>
  <si>
    <t>MPE1212100460</t>
  </si>
  <si>
    <t>itens</t>
  </si>
  <si>
    <t>turnos</t>
  </si>
  <si>
    <r>
      <t xml:space="preserve">Produto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</t>
    </r>
  </si>
  <si>
    <t xml:space="preserve">Fixadores A </t>
  </si>
  <si>
    <t xml:space="preserve">Produto B </t>
  </si>
  <si>
    <t xml:space="preserve">Fixadores B </t>
  </si>
  <si>
    <t xml:space="preserve">Produto C </t>
  </si>
  <si>
    <t xml:space="preserve">Fixadores C </t>
  </si>
  <si>
    <t>Produto A</t>
  </si>
  <si>
    <t>Fixadores A</t>
  </si>
  <si>
    <t>Produto B</t>
  </si>
  <si>
    <t>Fixadores</t>
  </si>
  <si>
    <t>Dias úteis</t>
  </si>
  <si>
    <t>Prod. Turno</t>
  </si>
  <si>
    <t>turno</t>
  </si>
  <si>
    <t>Fixadores B</t>
  </si>
  <si>
    <t>Produto C</t>
  </si>
  <si>
    <t>Fixadores C</t>
  </si>
  <si>
    <t>PML MM= (</t>
  </si>
  <si>
    <t>;</t>
  </si>
  <si>
    <t>)</t>
  </si>
  <si>
    <t>PML CI= (</t>
  </si>
  <si>
    <t>PML PAY= (</t>
  </si>
  <si>
    <t>PML PROD= (</t>
  </si>
  <si>
    <t>PML RC= (</t>
  </si>
  <si>
    <t>PML QUAL= (</t>
  </si>
  <si>
    <t>MODERADO</t>
  </si>
  <si>
    <t>ABSOLUTO</t>
  </si>
  <si>
    <t>ENTRE</t>
  </si>
  <si>
    <t>MATRIZ</t>
  </si>
  <si>
    <t>6X6</t>
  </si>
  <si>
    <t>IR (RI)</t>
  </si>
  <si>
    <t>N</t>
  </si>
  <si>
    <t>2X2</t>
  </si>
  <si>
    <t>3X3</t>
  </si>
  <si>
    <t>4X4</t>
  </si>
  <si>
    <t>5X5</t>
  </si>
  <si>
    <t>7X7</t>
  </si>
  <si>
    <t>8X8</t>
  </si>
  <si>
    <t>9X9</t>
  </si>
  <si>
    <t>IR (RC)</t>
  </si>
  <si>
    <t>ÍNDICE RANDÔMICO</t>
  </si>
  <si>
    <t>6x6</t>
  </si>
  <si>
    <t>PRIORIDADE GLOBAL</t>
  </si>
  <si>
    <t>SOMA</t>
  </si>
  <si>
    <t>VALORES</t>
  </si>
  <si>
    <t>LAYOUT A (MV)</t>
  </si>
  <si>
    <t>LAYOUT B (MV)</t>
  </si>
  <si>
    <t>LAYOUT A (NOVO)</t>
  </si>
  <si>
    <t>LAYOUT B (NOVO)</t>
  </si>
  <si>
    <t>PAYBACK LB</t>
  </si>
  <si>
    <t xml:space="preserve">
</t>
  </si>
  <si>
    <t>VELOCIDADE LA M/MIN</t>
  </si>
  <si>
    <t>VELOCIDADE LB M/MIN</t>
  </si>
  <si>
    <t>QUANTIDADE DE FIXADORES LA</t>
  </si>
  <si>
    <t>QUANTIDADE DE FIXADORES LB</t>
  </si>
  <si>
    <t>AUMENTO DE QTD - PROJ. X REAL</t>
  </si>
  <si>
    <t>MELHORIA LA - PROJETOS</t>
  </si>
  <si>
    <t>MELHORIA LB - PROJETOS</t>
  </si>
  <si>
    <t xml:space="preserve">PAYBACK LA </t>
  </si>
  <si>
    <r>
      <t xml:space="preserve">TEMPO ANTES DA PINTURA </t>
    </r>
    <r>
      <rPr>
        <sz val="12"/>
        <color rgb="FFFFFF00"/>
        <rFont val="Bahnschrift Condensed"/>
        <family val="2"/>
      </rPr>
      <t>230°C</t>
    </r>
  </si>
  <si>
    <r>
      <t xml:space="preserve">TEMPO ANTES DA PINTURA </t>
    </r>
    <r>
      <rPr>
        <sz val="12"/>
        <color rgb="FFFFFF00"/>
        <rFont val="Bahnschrift Condensed"/>
        <family val="2"/>
      </rPr>
      <t>260°C</t>
    </r>
  </si>
  <si>
    <r>
      <t xml:space="preserve">MELHORIA DADOS REAIS - </t>
    </r>
    <r>
      <rPr>
        <sz val="12"/>
        <color rgb="FFFFFF00"/>
        <rFont val="Bahnschrift Condensed"/>
        <family val="2"/>
      </rPr>
      <t>LA</t>
    </r>
  </si>
  <si>
    <r>
      <t>MELHORIA DADOS REAIS -</t>
    </r>
    <r>
      <rPr>
        <sz val="12"/>
        <color rgb="FFFFFF00"/>
        <rFont val="Bahnschrift Condensed"/>
        <family val="2"/>
      </rPr>
      <t xml:space="preserve"> LB</t>
    </r>
  </si>
  <si>
    <r>
      <t xml:space="preserve">TEMPO TOTAL DA PINTURA </t>
    </r>
    <r>
      <rPr>
        <sz val="12"/>
        <color rgb="FFFFFF00"/>
        <rFont val="Bahnschrift Condensed"/>
        <family val="2"/>
      </rPr>
      <t>230°C</t>
    </r>
  </si>
  <si>
    <r>
      <t xml:space="preserve">TEMPO TOTAL DA PINTURA </t>
    </r>
    <r>
      <rPr>
        <sz val="12"/>
        <color rgb="FFFFFF00"/>
        <rFont val="Bahnschrift Condensed"/>
        <family val="2"/>
      </rPr>
      <t>260°C</t>
    </r>
  </si>
  <si>
    <t>HH - LA</t>
  </si>
  <si>
    <t>HH- LB</t>
  </si>
  <si>
    <t/>
  </si>
  <si>
    <t>HH - ATUAL</t>
  </si>
  <si>
    <t>FIXADORES POR MIN</t>
  </si>
  <si>
    <r>
      <t xml:space="preserve">TEMPO ANTES DA PINTURA </t>
    </r>
    <r>
      <rPr>
        <sz val="12"/>
        <color rgb="FFFFFF00"/>
        <rFont val="Bahnschrift Condensed"/>
        <family val="2"/>
      </rPr>
      <t>200°C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</si>
</sst>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R$&quot;\ * #,##0.00_-;\-&quot;R$&quot;\ * #,##0.00_-;_-&quot;R$&quot;\ * &quot;-&quot;??_-;_-@_-"/>
    <numFmt numFmtId="164" formatCode="0.0"/>
    <numFmt numFmtId="165" formatCode="[$-F400]h:mm:ss\ AM/PM"/>
    <numFmt numFmtId="166" formatCode="0.0%"/>
    <numFmt numFmtId="167" formatCode="0.000"/>
    <numFmt numFmtId="168" formatCode="0.0000"/>
    <numFmt numFmtId="169" formatCode="&quot;R$&quot;\ #,##0.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10"/>
      <color indexed="9"/>
      <name val="Verdana"/>
      <family val="2"/>
    </font>
    <font>
      <sz val="10"/>
      <color indexed="18"/>
      <name val="Verdana"/>
      <family val="2"/>
    </font>
    <font>
      <sz val="11"/>
      <color rgb="FF1F497D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000080"/>
      <name val="Verdana"/>
      <family val="2"/>
    </font>
    <font>
      <sz val="10"/>
      <color theme="1"/>
      <name val="Times New Roman"/>
      <family val="1"/>
    </font>
    <font>
      <b/>
      <sz val="12"/>
      <color theme="1"/>
      <name val="Verdana"/>
      <family val="2"/>
    </font>
    <font>
      <sz val="10"/>
      <color rgb="FFFF0000"/>
      <name val="Verdana"/>
      <family val="2"/>
    </font>
    <font>
      <sz val="10"/>
      <color rgb="FFFFFFFF"/>
      <name val="Verdana"/>
      <family val="2"/>
    </font>
    <font>
      <sz val="10"/>
      <color rgb="FF000080"/>
      <name val="Verdana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6"/>
      <color theme="1"/>
      <name val="Arial"/>
      <family val="2"/>
    </font>
    <font>
      <sz val="10"/>
      <color rgb="FFFFFFFF"/>
      <name val="Arial"/>
      <family val="2"/>
    </font>
    <font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26"/>
      <color theme="4" tint="-0.499984740745262"/>
      <name val="Bahnschrift Condensed"/>
      <family val="2"/>
    </font>
    <font>
      <b/>
      <sz val="11"/>
      <name val="Calibri"/>
      <family val="2"/>
      <scheme val="minor"/>
    </font>
    <font>
      <sz val="12"/>
      <color theme="0"/>
      <name val="Bahnschrift Condensed"/>
      <family val="2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2"/>
      <color rgb="FFFFFF00"/>
      <name val="Bahnschrift Condensed"/>
      <family val="2"/>
    </font>
    <font>
      <sz val="22"/>
      <color theme="1"/>
      <name val="Calibri"/>
      <family val="2"/>
      <scheme val="minor"/>
    </font>
    <font>
      <sz val="22"/>
      <color theme="4" tint="-0.499984740745262"/>
      <name val="Bahnschrift Condensed"/>
      <family val="2"/>
    </font>
  </fonts>
  <fills count="3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DF834"/>
        <bgColor indexed="64"/>
      </patternFill>
    </fill>
  </fills>
  <borders count="4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0000FF"/>
      </bottom>
      <diagonal/>
    </border>
    <border>
      <left style="medium">
        <color rgb="FF0000FF"/>
      </left>
      <right style="medium">
        <color rgb="FF0000FF"/>
      </right>
      <top/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383">
    <xf numFmtId="0" fontId="0" fillId="0" borderId="0" xfId="0"/>
    <xf numFmtId="0" fontId="0" fillId="4" borderId="2" xfId="0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0" fillId="4" borderId="2" xfId="0" applyFill="1" applyBorder="1"/>
    <xf numFmtId="0" fontId="0" fillId="0" borderId="2" xfId="0" applyBorder="1"/>
    <xf numFmtId="9" fontId="0" fillId="0" borderId="2" xfId="2" applyFont="1" applyBorder="1"/>
    <xf numFmtId="0" fontId="0" fillId="5" borderId="0" xfId="0" applyFill="1" applyAlignment="1">
      <alignment horizontal="center" wrapText="1"/>
    </xf>
    <xf numFmtId="0" fontId="0" fillId="5" borderId="0" xfId="0" applyFill="1"/>
    <xf numFmtId="0" fontId="3" fillId="7" borderId="2" xfId="0" applyFont="1" applyFill="1" applyBorder="1" applyAlignment="1"/>
    <xf numFmtId="0" fontId="3" fillId="7" borderId="2" xfId="0" applyFont="1" applyFill="1" applyBorder="1" applyAlignment="1">
      <alignment horizontal="center"/>
    </xf>
    <xf numFmtId="0" fontId="0" fillId="6" borderId="7" xfId="0" applyFill="1" applyBorder="1" applyAlignment="1">
      <alignment horizontal="center" wrapText="1"/>
    </xf>
    <xf numFmtId="0" fontId="0" fillId="4" borderId="3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9" fontId="0" fillId="6" borderId="6" xfId="0" applyNumberFormat="1" applyFill="1" applyBorder="1" applyAlignment="1">
      <alignment horizontal="center"/>
    </xf>
    <xf numFmtId="0" fontId="3" fillId="8" borderId="7" xfId="0" applyFont="1" applyFill="1" applyBorder="1" applyAlignment="1"/>
    <xf numFmtId="0" fontId="0" fillId="9" borderId="6" xfId="0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3" fillId="8" borderId="6" xfId="0" applyFont="1" applyFill="1" applyBorder="1" applyAlignment="1">
      <alignment horizontal="center"/>
    </xf>
    <xf numFmtId="0" fontId="0" fillId="9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/>
    <xf numFmtId="1" fontId="0" fillId="9" borderId="2" xfId="0" applyNumberForma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6" borderId="2" xfId="0" applyNumberFormat="1" applyFill="1" applyBorder="1" applyAlignment="1">
      <alignment horizontal="center" vertical="center"/>
    </xf>
    <xf numFmtId="164" fontId="0" fillId="5" borderId="0" xfId="0" applyNumberFormat="1" applyFill="1"/>
    <xf numFmtId="1" fontId="0" fillId="5" borderId="3" xfId="0" applyNumberFormat="1" applyFill="1" applyBorder="1" applyAlignment="1">
      <alignment horizontal="center" vertical="center"/>
    </xf>
    <xf numFmtId="9" fontId="0" fillId="0" borderId="0" xfId="2" applyFont="1"/>
    <xf numFmtId="164" fontId="0" fillId="9" borderId="2" xfId="0" applyNumberFormat="1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10" fontId="0" fillId="5" borderId="2" xfId="2" applyNumberFormat="1" applyFont="1" applyFill="1" applyBorder="1" applyAlignment="1">
      <alignment horizontal="center" vertical="center"/>
    </xf>
    <xf numFmtId="9" fontId="0" fillId="5" borderId="2" xfId="2" applyFont="1" applyFill="1" applyBorder="1" applyAlignment="1">
      <alignment horizontal="center" vertical="center"/>
    </xf>
    <xf numFmtId="10" fontId="0" fillId="5" borderId="3" xfId="2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8" borderId="2" xfId="0" applyFont="1" applyFill="1" applyBorder="1"/>
    <xf numFmtId="0" fontId="0" fillId="5" borderId="2" xfId="0" applyFill="1" applyBorder="1"/>
    <xf numFmtId="164" fontId="6" fillId="10" borderId="2" xfId="0" applyNumberFormat="1" applyFont="1" applyFill="1" applyBorder="1" applyAlignment="1">
      <alignment horizontal="center" vertical="center"/>
    </xf>
    <xf numFmtId="2" fontId="0" fillId="9" borderId="2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0" fontId="12" fillId="5" borderId="2" xfId="0" applyFont="1" applyFill="1" applyBorder="1"/>
    <xf numFmtId="0" fontId="12" fillId="4" borderId="2" xfId="0" applyFont="1" applyFill="1" applyBorder="1"/>
    <xf numFmtId="44" fontId="0" fillId="5" borderId="2" xfId="1" applyFont="1" applyFill="1" applyBorder="1" applyAlignment="1">
      <alignment horizontal="center" vertical="center"/>
    </xf>
    <xf numFmtId="44" fontId="0" fillId="5" borderId="3" xfId="1" applyFont="1" applyFill="1" applyBorder="1" applyAlignment="1">
      <alignment horizontal="center" vertical="center"/>
    </xf>
    <xf numFmtId="10" fontId="0" fillId="5" borderId="2" xfId="1" applyNumberFormat="1" applyFont="1" applyFill="1" applyBorder="1" applyAlignment="1">
      <alignment horizontal="center" vertical="center"/>
    </xf>
    <xf numFmtId="9" fontId="0" fillId="5" borderId="2" xfId="1" applyNumberFormat="1" applyFont="1" applyFill="1" applyBorder="1" applyAlignment="1">
      <alignment horizontal="center" vertical="center"/>
    </xf>
    <xf numFmtId="10" fontId="0" fillId="5" borderId="3" xfId="1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4" fontId="0" fillId="5" borderId="2" xfId="0" applyNumberFormat="1" applyFill="1" applyBorder="1" applyAlignment="1">
      <alignment horizontal="center" vertical="center"/>
    </xf>
    <xf numFmtId="44" fontId="0" fillId="6" borderId="2" xfId="0" applyNumberFormat="1" applyFill="1" applyBorder="1" applyAlignment="1">
      <alignment horizontal="center" vertical="center"/>
    </xf>
    <xf numFmtId="9" fontId="0" fillId="6" borderId="2" xfId="2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2" fillId="2" borderId="20" xfId="3" applyBorder="1" applyAlignment="1">
      <alignment horizontal="left"/>
    </xf>
    <xf numFmtId="0" fontId="2" fillId="2" borderId="21" xfId="3" applyBorder="1" applyAlignment="1">
      <alignment horizontal="center"/>
    </xf>
    <xf numFmtId="0" fontId="2" fillId="2" borderId="22" xfId="3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9" fontId="0" fillId="14" borderId="2" xfId="0" applyNumberFormat="1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7" fillId="17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2" borderId="1" xfId="3" applyAlignment="1">
      <alignment horizontal="center"/>
    </xf>
    <xf numFmtId="0" fontId="5" fillId="18" borderId="2" xfId="0" applyFont="1" applyFill="1" applyBorder="1" applyAlignment="1">
      <alignment horizontal="center"/>
    </xf>
    <xf numFmtId="0" fontId="5" fillId="19" borderId="2" xfId="0" applyFont="1" applyFill="1" applyBorder="1" applyAlignment="1">
      <alignment horizontal="center"/>
    </xf>
    <xf numFmtId="0" fontId="3" fillId="12" borderId="2" xfId="0" applyFont="1" applyFill="1" applyBorder="1" applyAlignment="1">
      <alignment vertical="center"/>
    </xf>
    <xf numFmtId="16" fontId="0" fillId="5" borderId="2" xfId="0" applyNumberFormat="1" applyFill="1" applyBorder="1" applyAlignment="1">
      <alignment horizontal="center"/>
    </xf>
    <xf numFmtId="9" fontId="0" fillId="0" borderId="2" xfId="2" applyFon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16" fontId="2" fillId="2" borderId="1" xfId="3" applyNumberFormat="1" applyAlignment="1">
      <alignment horizontal="center"/>
    </xf>
    <xf numFmtId="2" fontId="2" fillId="20" borderId="1" xfId="3" applyNumberFormat="1" applyFill="1" applyAlignment="1">
      <alignment horizontal="center"/>
    </xf>
    <xf numFmtId="1" fontId="2" fillId="20" borderId="1" xfId="3" applyNumberFormat="1" applyFill="1" applyAlignment="1">
      <alignment horizontal="center"/>
    </xf>
    <xf numFmtId="1" fontId="2" fillId="2" borderId="1" xfId="3" applyNumberFormat="1" applyAlignment="1">
      <alignment horizontal="center"/>
    </xf>
    <xf numFmtId="9" fontId="2" fillId="2" borderId="1" xfId="3" applyNumberFormat="1" applyAlignment="1">
      <alignment horizontal="center"/>
    </xf>
    <xf numFmtId="9" fontId="0" fillId="18" borderId="2" xfId="2" applyFont="1" applyFill="1" applyBorder="1" applyAlignment="1">
      <alignment horizontal="center"/>
    </xf>
    <xf numFmtId="165" fontId="0" fillId="18" borderId="2" xfId="2" applyNumberFormat="1" applyFont="1" applyFill="1" applyBorder="1" applyAlignment="1">
      <alignment horizontal="center"/>
    </xf>
    <xf numFmtId="2" fontId="0" fillId="18" borderId="2" xfId="2" applyNumberFormat="1" applyFont="1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1" fontId="0" fillId="19" borderId="2" xfId="0" applyNumberForma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2" fontId="2" fillId="4" borderId="1" xfId="3" applyNumberFormat="1" applyFill="1" applyAlignment="1">
      <alignment horizontal="center"/>
    </xf>
    <xf numFmtId="1" fontId="2" fillId="4" borderId="1" xfId="3" applyNumberFormat="1" applyFill="1" applyAlignment="1">
      <alignment horizontal="center"/>
    </xf>
    <xf numFmtId="165" fontId="0" fillId="18" borderId="2" xfId="0" applyNumberFormat="1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2" fontId="0" fillId="18" borderId="2" xfId="0" applyNumberFormat="1" applyFill="1" applyBorder="1" applyAlignment="1">
      <alignment horizontal="center"/>
    </xf>
    <xf numFmtId="2" fontId="2" fillId="21" borderId="1" xfId="3" applyNumberFormat="1" applyFill="1" applyAlignment="1">
      <alignment horizontal="center"/>
    </xf>
    <xf numFmtId="1" fontId="2" fillId="21" borderId="1" xfId="3" applyNumberFormat="1" applyFill="1" applyAlignment="1">
      <alignment horizontal="center"/>
    </xf>
    <xf numFmtId="20" fontId="0" fillId="0" borderId="0" xfId="0" applyNumberFormat="1"/>
    <xf numFmtId="9" fontId="0" fillId="0" borderId="0" xfId="0" applyNumberFormat="1"/>
    <xf numFmtId="0" fontId="0" fillId="22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7" fillId="17" borderId="0" xfId="0" applyFont="1" applyFill="1" applyAlignment="1">
      <alignment horizontal="center"/>
    </xf>
    <xf numFmtId="1" fontId="0" fillId="0" borderId="2" xfId="0" applyNumberFormat="1" applyBorder="1" applyAlignment="1">
      <alignment horizontal="center"/>
    </xf>
    <xf numFmtId="10" fontId="0" fillId="0" borderId="0" xfId="0" applyNumberFormat="1"/>
    <xf numFmtId="0" fontId="0" fillId="0" borderId="9" xfId="0" applyBorder="1"/>
    <xf numFmtId="0" fontId="0" fillId="0" borderId="23" xfId="0" applyBorder="1"/>
    <xf numFmtId="44" fontId="0" fillId="0" borderId="23" xfId="1" applyFont="1" applyBorder="1"/>
    <xf numFmtId="0" fontId="0" fillId="0" borderId="10" xfId="0" applyBorder="1"/>
    <xf numFmtId="44" fontId="0" fillId="4" borderId="0" xfId="0" applyNumberFormat="1" applyFill="1"/>
    <xf numFmtId="0" fontId="0" fillId="0" borderId="18" xfId="0" applyBorder="1"/>
    <xf numFmtId="10" fontId="0" fillId="0" borderId="0" xfId="2" applyNumberFormat="1" applyFont="1"/>
    <xf numFmtId="0" fontId="0" fillId="0" borderId="19" xfId="0" applyBorder="1"/>
    <xf numFmtId="164" fontId="0" fillId="0" borderId="0" xfId="0" applyNumberFormat="1"/>
    <xf numFmtId="0" fontId="0" fillId="0" borderId="12" xfId="0" applyBorder="1"/>
    <xf numFmtId="44" fontId="0" fillId="0" borderId="24" xfId="0" applyNumberFormat="1" applyBorder="1"/>
    <xf numFmtId="9" fontId="0" fillId="0" borderId="24" xfId="2" applyFont="1" applyBorder="1"/>
    <xf numFmtId="0" fontId="0" fillId="0" borderId="13" xfId="0" applyBorder="1"/>
    <xf numFmtId="44" fontId="0" fillId="0" borderId="2" xfId="1" applyFont="1" applyBorder="1"/>
    <xf numFmtId="166" fontId="0" fillId="0" borderId="2" xfId="2" applyNumberFormat="1" applyFont="1" applyBorder="1"/>
    <xf numFmtId="0" fontId="14" fillId="23" borderId="2" xfId="0" applyFont="1" applyFill="1" applyBorder="1" applyAlignment="1">
      <alignment horizontal="left"/>
    </xf>
    <xf numFmtId="0" fontId="15" fillId="5" borderId="2" xfId="0" applyFont="1" applyFill="1" applyBorder="1" applyAlignment="1">
      <alignment horizontal="left"/>
    </xf>
    <xf numFmtId="4" fontId="15" fillId="5" borderId="2" xfId="0" applyNumberFormat="1" applyFont="1" applyFill="1" applyBorder="1" applyAlignment="1">
      <alignment horizontal="left"/>
    </xf>
    <xf numFmtId="44" fontId="0" fillId="5" borderId="2" xfId="1" applyFont="1" applyFill="1" applyBorder="1"/>
    <xf numFmtId="0" fontId="0" fillId="24" borderId="0" xfId="0" applyFill="1"/>
    <xf numFmtId="0" fontId="0" fillId="5" borderId="25" xfId="0" applyFill="1" applyBorder="1"/>
    <xf numFmtId="0" fontId="0" fillId="5" borderId="26" xfId="0" applyFill="1" applyBorder="1"/>
    <xf numFmtId="0" fontId="0" fillId="5" borderId="27" xfId="0" applyFill="1" applyBorder="1"/>
    <xf numFmtId="0" fontId="0" fillId="24" borderId="10" xfId="0" applyFill="1" applyBorder="1"/>
    <xf numFmtId="0" fontId="0" fillId="5" borderId="28" xfId="0" applyFill="1" applyBorder="1"/>
    <xf numFmtId="0" fontId="4" fillId="5" borderId="0" xfId="0" applyFont="1" applyFill="1" applyBorder="1"/>
    <xf numFmtId="0" fontId="0" fillId="5" borderId="0" xfId="0" applyFill="1" applyBorder="1"/>
    <xf numFmtId="0" fontId="0" fillId="5" borderId="19" xfId="0" applyFill="1" applyBorder="1"/>
    <xf numFmtId="0" fontId="0" fillId="5" borderId="23" xfId="0" applyFill="1" applyBorder="1"/>
    <xf numFmtId="0" fontId="0" fillId="5" borderId="10" xfId="0" applyFill="1" applyBorder="1"/>
    <xf numFmtId="20" fontId="0" fillId="5" borderId="0" xfId="0" applyNumberFormat="1" applyFill="1" applyBorder="1"/>
    <xf numFmtId="0" fontId="0" fillId="5" borderId="29" xfId="0" applyFill="1" applyBorder="1"/>
    <xf numFmtId="0" fontId="0" fillId="24" borderId="19" xfId="0" applyFill="1" applyBorder="1"/>
    <xf numFmtId="0" fontId="5" fillId="5" borderId="9" xfId="0" applyFont="1" applyFill="1" applyBorder="1"/>
    <xf numFmtId="0" fontId="5" fillId="5" borderId="23" xfId="0" applyFont="1" applyFill="1" applyBorder="1"/>
    <xf numFmtId="0" fontId="5" fillId="5" borderId="0" xfId="0" applyFont="1" applyFill="1" applyBorder="1"/>
    <xf numFmtId="0" fontId="0" fillId="5" borderId="0" xfId="0" applyFill="1" applyBorder="1" applyAlignment="1">
      <alignment horizontal="left"/>
    </xf>
    <xf numFmtId="0" fontId="0" fillId="5" borderId="0" xfId="0" applyFill="1" applyBorder="1" applyAlignment="1">
      <alignment horizontal="center" vertical="center"/>
    </xf>
    <xf numFmtId="0" fontId="16" fillId="5" borderId="18" xfId="0" applyFont="1" applyFill="1" applyBorder="1"/>
    <xf numFmtId="0" fontId="0" fillId="5" borderId="30" xfId="0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33" xfId="0" applyFill="1" applyBorder="1"/>
    <xf numFmtId="0" fontId="0" fillId="5" borderId="34" xfId="0" applyFill="1" applyBorder="1"/>
    <xf numFmtId="0" fontId="0" fillId="5" borderId="35" xfId="0" applyFill="1" applyBorder="1"/>
    <xf numFmtId="0" fontId="0" fillId="5" borderId="0" xfId="0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/>
    <xf numFmtId="0" fontId="0" fillId="5" borderId="18" xfId="0" applyFill="1" applyBorder="1" applyAlignment="1">
      <alignment horizontal="left"/>
    </xf>
    <xf numFmtId="0" fontId="0" fillId="5" borderId="19" xfId="0" applyFill="1" applyBorder="1" applyAlignment="1">
      <alignment horizontal="left"/>
    </xf>
    <xf numFmtId="0" fontId="0" fillId="5" borderId="24" xfId="0" applyFill="1" applyBorder="1"/>
    <xf numFmtId="0" fontId="0" fillId="5" borderId="18" xfId="0" applyFill="1" applyBorder="1"/>
    <xf numFmtId="0" fontId="5" fillId="5" borderId="0" xfId="0" applyFont="1" applyFill="1"/>
    <xf numFmtId="0" fontId="0" fillId="5" borderId="9" xfId="0" applyFill="1" applyBorder="1"/>
    <xf numFmtId="0" fontId="5" fillId="5" borderId="18" xfId="0" applyFont="1" applyFill="1" applyBorder="1"/>
    <xf numFmtId="0" fontId="4" fillId="5" borderId="18" xfId="0" applyFont="1" applyFill="1" applyBorder="1"/>
    <xf numFmtId="0" fontId="4" fillId="5" borderId="0" xfId="0" applyFont="1" applyFill="1"/>
    <xf numFmtId="2" fontId="0" fillId="5" borderId="2" xfId="0" applyNumberFormat="1" applyFill="1" applyBorder="1"/>
    <xf numFmtId="1" fontId="0" fillId="5" borderId="2" xfId="0" applyNumberFormat="1" applyFill="1" applyBorder="1"/>
    <xf numFmtId="164" fontId="0" fillId="5" borderId="2" xfId="0" applyNumberFormat="1" applyFill="1" applyBorder="1"/>
    <xf numFmtId="9" fontId="19" fillId="5" borderId="0" xfId="0" applyNumberFormat="1" applyFont="1" applyFill="1" applyBorder="1"/>
    <xf numFmtId="0" fontId="4" fillId="5" borderId="12" xfId="0" applyFont="1" applyFill="1" applyBorder="1"/>
    <xf numFmtId="0" fontId="0" fillId="0" borderId="36" xfId="0" applyBorder="1" applyAlignment="1">
      <alignment vertical="center"/>
    </xf>
    <xf numFmtId="0" fontId="0" fillId="5" borderId="37" xfId="0" applyFill="1" applyBorder="1"/>
    <xf numFmtId="0" fontId="0" fillId="5" borderId="38" xfId="0" applyFill="1" applyBorder="1"/>
    <xf numFmtId="0" fontId="0" fillId="24" borderId="18" xfId="0" applyFill="1" applyBorder="1"/>
    <xf numFmtId="0" fontId="0" fillId="24" borderId="0" xfId="0" applyFill="1" applyBorder="1"/>
    <xf numFmtId="0" fontId="5" fillId="5" borderId="26" xfId="0" applyFont="1" applyFill="1" applyBorder="1"/>
    <xf numFmtId="20" fontId="0" fillId="5" borderId="26" xfId="0" applyNumberFormat="1" applyFill="1" applyBorder="1"/>
    <xf numFmtId="2" fontId="0" fillId="5" borderId="6" xfId="0" applyNumberFormat="1" applyFill="1" applyBorder="1"/>
    <xf numFmtId="9" fontId="0" fillId="5" borderId="0" xfId="0" applyNumberFormat="1" applyFill="1" applyBorder="1"/>
    <xf numFmtId="0" fontId="0" fillId="5" borderId="19" xfId="0" applyFill="1" applyBorder="1" applyAlignment="1">
      <alignment horizontal="center"/>
    </xf>
    <xf numFmtId="0" fontId="0" fillId="0" borderId="28" xfId="0" applyBorder="1" applyAlignment="1">
      <alignment vertical="center"/>
    </xf>
    <xf numFmtId="0" fontId="0" fillId="5" borderId="36" xfId="0" applyFill="1" applyBorder="1"/>
    <xf numFmtId="0" fontId="0" fillId="24" borderId="12" xfId="0" applyFill="1" applyBorder="1"/>
    <xf numFmtId="0" fontId="0" fillId="24" borderId="24" xfId="0" applyFill="1" applyBorder="1"/>
    <xf numFmtId="0" fontId="0" fillId="24" borderId="13" xfId="0" applyFill="1" applyBorder="1"/>
    <xf numFmtId="20" fontId="0" fillId="5" borderId="23" xfId="0" applyNumberFormat="1" applyFill="1" applyBorder="1"/>
    <xf numFmtId="20" fontId="0" fillId="5" borderId="0" xfId="0" applyNumberFormat="1" applyFill="1"/>
    <xf numFmtId="0" fontId="0" fillId="5" borderId="0" xfId="0" applyFill="1" applyAlignment="1">
      <alignment horizontal="center" vertical="center" wrapText="1"/>
    </xf>
    <xf numFmtId="0" fontId="5" fillId="5" borderId="24" xfId="0" applyFont="1" applyFill="1" applyBorder="1"/>
    <xf numFmtId="0" fontId="0" fillId="5" borderId="24" xfId="0" applyFill="1" applyBorder="1" applyAlignment="1">
      <alignment horizontal="center" vertical="center" wrapText="1"/>
    </xf>
    <xf numFmtId="0" fontId="0" fillId="5" borderId="39" xfId="0" applyFill="1" applyBorder="1"/>
    <xf numFmtId="0" fontId="0" fillId="5" borderId="40" xfId="0" applyFill="1" applyBorder="1"/>
    <xf numFmtId="20" fontId="0" fillId="5" borderId="24" xfId="0" applyNumberFormat="1" applyFill="1" applyBorder="1"/>
    <xf numFmtId="14" fontId="0" fillId="5" borderId="0" xfId="0" applyNumberFormat="1" applyFill="1"/>
    <xf numFmtId="0" fontId="3" fillId="10" borderId="2" xfId="0" applyFont="1" applyFill="1" applyBorder="1" applyAlignment="1">
      <alignment horizontal="center"/>
    </xf>
    <xf numFmtId="0" fontId="3" fillId="10" borderId="0" xfId="0" applyFont="1" applyFill="1" applyAlignment="1">
      <alignment horizontal="center"/>
    </xf>
    <xf numFmtId="0" fontId="16" fillId="0" borderId="0" xfId="0" applyFont="1" applyAlignment="1">
      <alignment vertical="center"/>
    </xf>
    <xf numFmtId="0" fontId="20" fillId="0" borderId="41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14" fontId="22" fillId="0" borderId="0" xfId="0" applyNumberFormat="1" applyFont="1" applyAlignment="1">
      <alignment horizontal="right" vertical="center"/>
    </xf>
    <xf numFmtId="0" fontId="21" fillId="0" borderId="0" xfId="0" applyFont="1"/>
    <xf numFmtId="0" fontId="23" fillId="25" borderId="42" xfId="0" applyFont="1" applyFill="1" applyBorder="1" applyAlignment="1">
      <alignment horizontal="center" vertical="center"/>
    </xf>
    <xf numFmtId="0" fontId="23" fillId="25" borderId="43" xfId="0" applyFont="1" applyFill="1" applyBorder="1" applyAlignment="1">
      <alignment horizontal="center" vertical="center"/>
    </xf>
    <xf numFmtId="0" fontId="23" fillId="25" borderId="43" xfId="0" applyFont="1" applyFill="1" applyBorder="1" applyAlignment="1">
      <alignment vertical="center"/>
    </xf>
    <xf numFmtId="0" fontId="24" fillId="25" borderId="4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26" borderId="42" xfId="0" applyFont="1" applyFill="1" applyBorder="1" applyAlignment="1">
      <alignment horizontal="center" vertical="center"/>
    </xf>
    <xf numFmtId="0" fontId="25" fillId="27" borderId="44" xfId="0" applyFont="1" applyFill="1" applyBorder="1" applyAlignment="1">
      <alignment horizontal="center" vertical="center"/>
    </xf>
    <xf numFmtId="0" fontId="25" fillId="27" borderId="44" xfId="0" applyFont="1" applyFill="1" applyBorder="1" applyAlignment="1">
      <alignment vertical="center"/>
    </xf>
    <xf numFmtId="14" fontId="25" fillId="28" borderId="44" xfId="0" applyNumberFormat="1" applyFont="1" applyFill="1" applyBorder="1" applyAlignment="1">
      <alignment vertical="center"/>
    </xf>
    <xf numFmtId="0" fontId="26" fillId="29" borderId="14" xfId="0" applyFont="1" applyFill="1" applyBorder="1" applyAlignment="1">
      <alignment vertical="center"/>
    </xf>
    <xf numFmtId="0" fontId="26" fillId="29" borderId="15" xfId="0" applyFont="1" applyFill="1" applyBorder="1" applyAlignment="1">
      <alignment horizontal="center" vertical="center"/>
    </xf>
    <xf numFmtId="0" fontId="26" fillId="29" borderId="16" xfId="0" applyFont="1" applyFill="1" applyBorder="1" applyAlignment="1">
      <alignment horizontal="center" vertical="center"/>
    </xf>
    <xf numFmtId="0" fontId="26" fillId="29" borderId="10" xfId="0" applyFont="1" applyFill="1" applyBorder="1" applyAlignment="1">
      <alignment horizontal="center" vertical="center"/>
    </xf>
    <xf numFmtId="0" fontId="27" fillId="30" borderId="18" xfId="0" applyFont="1" applyFill="1" applyBorder="1" applyAlignment="1">
      <alignment vertical="center"/>
    </xf>
    <xf numFmtId="3" fontId="27" fillId="30" borderId="18" xfId="0" applyNumberFormat="1" applyFont="1" applyFill="1" applyBorder="1" applyAlignment="1">
      <alignment horizontal="center" vertical="center"/>
    </xf>
    <xf numFmtId="0" fontId="27" fillId="30" borderId="18" xfId="0" applyFont="1" applyFill="1" applyBorder="1" applyAlignment="1">
      <alignment horizontal="center" vertical="center"/>
    </xf>
    <xf numFmtId="0" fontId="27" fillId="30" borderId="8" xfId="0" applyFont="1" applyFill="1" applyBorder="1" applyAlignment="1">
      <alignment horizontal="center" vertical="center"/>
    </xf>
    <xf numFmtId="3" fontId="25" fillId="27" borderId="44" xfId="0" applyNumberFormat="1" applyFont="1" applyFill="1" applyBorder="1" applyAlignment="1">
      <alignment vertical="center"/>
    </xf>
    <xf numFmtId="0" fontId="27" fillId="30" borderId="17" xfId="0" applyFont="1" applyFill="1" applyBorder="1" applyAlignment="1">
      <alignment horizontal="center" vertical="center"/>
    </xf>
    <xf numFmtId="0" fontId="27" fillId="30" borderId="12" xfId="0" applyFont="1" applyFill="1" applyBorder="1" applyAlignment="1">
      <alignment vertical="center"/>
    </xf>
    <xf numFmtId="0" fontId="27" fillId="30" borderId="12" xfId="0" applyFont="1" applyFill="1" applyBorder="1" applyAlignment="1">
      <alignment horizontal="center" vertical="center"/>
    </xf>
    <xf numFmtId="0" fontId="27" fillId="30" borderId="1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1" fontId="0" fillId="0" borderId="0" xfId="0" applyNumberFormat="1"/>
    <xf numFmtId="1" fontId="0" fillId="4" borderId="0" xfId="0" applyNumberFormat="1" applyFill="1"/>
    <xf numFmtId="0" fontId="27" fillId="30" borderId="10" xfId="0" applyFont="1" applyFill="1" applyBorder="1" applyAlignment="1">
      <alignment horizontal="center" vertical="center"/>
    </xf>
    <xf numFmtId="0" fontId="27" fillId="30" borderId="19" xfId="0" applyFont="1" applyFill="1" applyBorder="1" applyAlignment="1">
      <alignment horizontal="center" vertical="center"/>
    </xf>
    <xf numFmtId="0" fontId="27" fillId="30" borderId="13" xfId="0" applyFont="1" applyFill="1" applyBorder="1" applyAlignment="1">
      <alignment horizontal="center" vertical="center"/>
    </xf>
    <xf numFmtId="0" fontId="26" fillId="29" borderId="15" xfId="0" applyFont="1" applyFill="1" applyBorder="1" applyAlignment="1">
      <alignment vertical="center"/>
    </xf>
    <xf numFmtId="0" fontId="27" fillId="30" borderId="17" xfId="0" applyFont="1" applyFill="1" applyBorder="1" applyAlignment="1">
      <alignment vertical="center"/>
    </xf>
    <xf numFmtId="3" fontId="27" fillId="30" borderId="19" xfId="0" applyNumberFormat="1" applyFont="1" applyFill="1" applyBorder="1" applyAlignment="1">
      <alignment horizontal="center" vertical="center"/>
    </xf>
    <xf numFmtId="0" fontId="27" fillId="30" borderId="11" xfId="0" applyFont="1" applyFill="1" applyBorder="1" applyAlignment="1">
      <alignment vertical="center"/>
    </xf>
    <xf numFmtId="3" fontId="27" fillId="30" borderId="13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27" fillId="4" borderId="11" xfId="0" applyFont="1" applyFill="1" applyBorder="1" applyAlignment="1">
      <alignment horizontal="center"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13" xfId="0" applyFont="1" applyFill="1" applyBorder="1" applyAlignment="1">
      <alignment vertical="center"/>
    </xf>
    <xf numFmtId="0" fontId="30" fillId="4" borderId="13" xfId="0" applyFont="1" applyFill="1" applyBorder="1" applyAlignment="1">
      <alignment vertical="center"/>
    </xf>
    <xf numFmtId="164" fontId="0" fillId="6" borderId="3" xfId="1" applyNumberFormat="1" applyFont="1" applyFill="1" applyBorder="1" applyAlignment="1">
      <alignment horizontal="center" vertical="center"/>
    </xf>
    <xf numFmtId="164" fontId="0" fillId="6" borderId="2" xfId="1" applyNumberFormat="1" applyFont="1" applyFill="1" applyBorder="1" applyAlignment="1">
      <alignment horizontal="center" vertical="center"/>
    </xf>
    <xf numFmtId="3" fontId="27" fillId="30" borderId="2" xfId="0" applyNumberFormat="1" applyFont="1" applyFill="1" applyBorder="1" applyAlignment="1">
      <alignment horizontal="center" vertical="center"/>
    </xf>
    <xf numFmtId="0" fontId="29" fillId="29" borderId="2" xfId="0" applyFont="1" applyFill="1" applyBorder="1" applyAlignment="1">
      <alignment horizontal="center" vertical="center"/>
    </xf>
    <xf numFmtId="168" fontId="6" fillId="10" borderId="3" xfId="0" applyNumberFormat="1" applyFont="1" applyFill="1" applyBorder="1" applyAlignment="1">
      <alignment horizontal="center" vertical="center"/>
    </xf>
    <xf numFmtId="0" fontId="0" fillId="5" borderId="4" xfId="0" applyFill="1" applyBorder="1"/>
    <xf numFmtId="0" fontId="0" fillId="5" borderId="5" xfId="0" applyFill="1" applyBorder="1"/>
    <xf numFmtId="0" fontId="0" fillId="4" borderId="5" xfId="0" applyFill="1" applyBorder="1"/>
    <xf numFmtId="0" fontId="12" fillId="5" borderId="5" xfId="0" applyFont="1" applyFill="1" applyBorder="1"/>
    <xf numFmtId="0" fontId="12" fillId="4" borderId="5" xfId="0" applyFont="1" applyFill="1" applyBorder="1"/>
    <xf numFmtId="9" fontId="0" fillId="5" borderId="3" xfId="2" applyFont="1" applyFill="1" applyBorder="1" applyAlignment="1">
      <alignment horizontal="center" vertical="center"/>
    </xf>
    <xf numFmtId="9" fontId="0" fillId="5" borderId="3" xfId="1" applyNumberFormat="1" applyFont="1" applyFill="1" applyBorder="1" applyAlignment="1">
      <alignment horizontal="center" vertical="center"/>
    </xf>
    <xf numFmtId="44" fontId="0" fillId="6" borderId="3" xfId="0" applyNumberForma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9" fontId="0" fillId="6" borderId="7" xfId="2" applyFont="1" applyFill="1" applyBorder="1" applyAlignment="1">
      <alignment horizontal="center" vertical="center"/>
    </xf>
    <xf numFmtId="44" fontId="0" fillId="5" borderId="7" xfId="0" applyNumberFormat="1" applyFill="1" applyBorder="1" applyAlignment="1">
      <alignment horizontal="center" vertical="center"/>
    </xf>
    <xf numFmtId="44" fontId="0" fillId="5" borderId="25" xfId="0" applyNumberFormat="1" applyFill="1" applyBorder="1" applyAlignment="1">
      <alignment horizontal="center" vertical="center"/>
    </xf>
    <xf numFmtId="0" fontId="33" fillId="8" borderId="29" xfId="0" applyFont="1" applyFill="1" applyBorder="1" applyAlignment="1"/>
    <xf numFmtId="0" fontId="7" fillId="9" borderId="6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36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5" borderId="19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28" fillId="30" borderId="8" xfId="0" applyFont="1" applyFill="1" applyBorder="1" applyAlignment="1">
      <alignment horizontal="center" vertical="center"/>
    </xf>
    <xf numFmtId="0" fontId="28" fillId="30" borderId="17" xfId="0" applyFont="1" applyFill="1" applyBorder="1" applyAlignment="1">
      <alignment horizontal="center" vertical="center"/>
    </xf>
    <xf numFmtId="0" fontId="28" fillId="30" borderId="45" xfId="0" applyFont="1" applyFill="1" applyBorder="1" applyAlignment="1">
      <alignment horizontal="center" vertical="center"/>
    </xf>
    <xf numFmtId="2" fontId="6" fillId="10" borderId="2" xfId="0" applyNumberFormat="1" applyFont="1" applyFill="1" applyBorder="1" applyAlignment="1">
      <alignment horizontal="center" vertical="center"/>
    </xf>
    <xf numFmtId="2" fontId="6" fillId="10" borderId="3" xfId="0" applyNumberFormat="1" applyFon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164" fontId="0" fillId="5" borderId="2" xfId="0" applyNumberFormat="1" applyFont="1" applyFill="1" applyBorder="1" applyAlignment="1">
      <alignment horizontal="center" vertical="center"/>
    </xf>
    <xf numFmtId="164" fontId="0" fillId="5" borderId="46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/>
    <xf numFmtId="0" fontId="0" fillId="4" borderId="2" xfId="0" applyFill="1" applyBorder="1" applyProtection="1"/>
    <xf numFmtId="12" fontId="0" fillId="9" borderId="2" xfId="0" applyNumberFormat="1" applyFont="1" applyFill="1" applyBorder="1" applyProtection="1"/>
    <xf numFmtId="12" fontId="0" fillId="5" borderId="2" xfId="0" applyNumberFormat="1" applyFont="1" applyFill="1" applyBorder="1" applyProtection="1"/>
    <xf numFmtId="2" fontId="0" fillId="0" borderId="2" xfId="0" applyNumberFormat="1" applyBorder="1" applyProtection="1"/>
    <xf numFmtId="12" fontId="0" fillId="0" borderId="2" xfId="0" applyNumberFormat="1" applyBorder="1" applyProtection="1"/>
    <xf numFmtId="0" fontId="5" fillId="5" borderId="2" xfId="0" applyFont="1" applyFill="1" applyBorder="1" applyProtection="1"/>
    <xf numFmtId="2" fontId="9" fillId="0" borderId="2" xfId="0" applyNumberFormat="1" applyFont="1" applyBorder="1" applyAlignment="1" applyProtection="1">
      <alignment horizontal="center" vertical="center"/>
    </xf>
    <xf numFmtId="0" fontId="5" fillId="0" borderId="2" xfId="0" applyFont="1" applyBorder="1" applyProtection="1"/>
    <xf numFmtId="0" fontId="0" fillId="0" borderId="2" xfId="0" applyBorder="1" applyProtection="1"/>
    <xf numFmtId="0" fontId="5" fillId="5" borderId="2" xfId="0" applyFont="1" applyFill="1" applyBorder="1" applyAlignment="1" applyProtection="1">
      <alignment horizontal="center"/>
    </xf>
    <xf numFmtId="9" fontId="0" fillId="0" borderId="2" xfId="2" applyFont="1" applyBorder="1" applyProtection="1"/>
    <xf numFmtId="0" fontId="5" fillId="0" borderId="2" xfId="0" applyFont="1" applyBorder="1" applyAlignment="1" applyProtection="1">
      <alignment horizontal="center" vertical="center" wrapText="1"/>
    </xf>
    <xf numFmtId="0" fontId="4" fillId="4" borderId="2" xfId="0" applyFont="1" applyFill="1" applyBorder="1" applyProtection="1"/>
    <xf numFmtId="0" fontId="0" fillId="9" borderId="2" xfId="0" applyFill="1" applyBorder="1" applyAlignment="1" applyProtection="1">
      <alignment horizontal="center"/>
    </xf>
    <xf numFmtId="2" fontId="0" fillId="0" borderId="2" xfId="0" applyNumberFormat="1" applyBorder="1" applyAlignment="1" applyProtection="1">
      <alignment horizontal="center"/>
    </xf>
    <xf numFmtId="0" fontId="31" fillId="4" borderId="2" xfId="0" applyFont="1" applyFill="1" applyBorder="1" applyAlignment="1" applyProtection="1">
      <alignment horizontal="center"/>
    </xf>
    <xf numFmtId="9" fontId="31" fillId="4" borderId="2" xfId="2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7" fontId="5" fillId="0" borderId="0" xfId="0" applyNumberFormat="1" applyFont="1" applyBorder="1" applyProtection="1"/>
    <xf numFmtId="167" fontId="19" fillId="0" borderId="0" xfId="0" applyNumberFormat="1" applyFont="1" applyBorder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167" fontId="5" fillId="0" borderId="0" xfId="0" applyNumberFormat="1" applyFont="1" applyProtection="1"/>
    <xf numFmtId="0" fontId="0" fillId="0" borderId="2" xfId="0" applyBorder="1" applyAlignment="1" applyProtection="1">
      <alignment horizontal="center"/>
    </xf>
    <xf numFmtId="0" fontId="0" fillId="5" borderId="0" xfId="0" applyFill="1" applyProtection="1">
      <protection locked="0"/>
    </xf>
    <xf numFmtId="0" fontId="32" fillId="5" borderId="0" xfId="0" applyFont="1" applyFill="1" applyBorder="1" applyAlignment="1" applyProtection="1">
      <alignment horizontal="center" vertical="center"/>
      <protection locked="0"/>
    </xf>
    <xf numFmtId="0" fontId="34" fillId="32" borderId="0" xfId="0" applyFont="1" applyFill="1" applyBorder="1" applyAlignment="1" applyProtection="1">
      <alignment horizontal="center" vertical="center"/>
    </xf>
    <xf numFmtId="0" fontId="34" fillId="5" borderId="0" xfId="0" applyFont="1" applyFill="1" applyBorder="1" applyAlignment="1" applyProtection="1">
      <alignment horizontal="center" vertical="center"/>
    </xf>
    <xf numFmtId="0" fontId="0" fillId="5" borderId="0" xfId="0" applyFill="1" applyProtection="1"/>
    <xf numFmtId="1" fontId="32" fillId="5" borderId="0" xfId="0" applyNumberFormat="1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5" borderId="0" xfId="0" applyFill="1" applyBorder="1" applyProtection="1"/>
    <xf numFmtId="1" fontId="32" fillId="5" borderId="0" xfId="2" applyNumberFormat="1" applyFont="1" applyFill="1" applyBorder="1" applyAlignment="1" applyProtection="1">
      <alignment horizontal="center" vertical="center"/>
    </xf>
    <xf numFmtId="0" fontId="34" fillId="32" borderId="0" xfId="0" applyFont="1" applyFill="1" applyBorder="1" applyAlignment="1" applyProtection="1">
      <alignment horizontal="center" vertical="center" wrapText="1"/>
    </xf>
    <xf numFmtId="0" fontId="34" fillId="5" borderId="0" xfId="0" applyFont="1" applyFill="1" applyBorder="1" applyAlignment="1" applyProtection="1">
      <alignment horizontal="center" vertical="center" wrapText="1"/>
    </xf>
    <xf numFmtId="0" fontId="32" fillId="5" borderId="0" xfId="2" applyNumberFormat="1" applyFont="1" applyFill="1" applyBorder="1" applyAlignment="1" applyProtection="1">
      <alignment horizontal="center" vertical="center"/>
    </xf>
    <xf numFmtId="1" fontId="32" fillId="31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/>
    </xf>
    <xf numFmtId="9" fontId="32" fillId="5" borderId="0" xfId="2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0" fontId="35" fillId="0" borderId="0" xfId="0" applyFont="1" applyBorder="1" applyAlignment="1" applyProtection="1">
      <alignment horizontal="center"/>
    </xf>
    <xf numFmtId="0" fontId="34" fillId="22" borderId="0" xfId="0" applyFont="1" applyFill="1" applyBorder="1" applyAlignment="1" applyProtection="1">
      <alignment horizontal="center" vertical="center"/>
    </xf>
    <xf numFmtId="169" fontId="36" fillId="0" borderId="0" xfId="0" applyNumberFormat="1" applyFont="1" applyBorder="1" applyAlignment="1" applyProtection="1">
      <alignment horizontal="center" vertical="center"/>
    </xf>
    <xf numFmtId="2" fontId="32" fillId="5" borderId="0" xfId="2" applyNumberFormat="1" applyFont="1" applyFill="1" applyBorder="1" applyAlignment="1" applyProtection="1">
      <alignment horizontal="center" vertical="center"/>
    </xf>
    <xf numFmtId="0" fontId="5" fillId="0" borderId="0" xfId="0" applyFont="1" applyProtection="1"/>
    <xf numFmtId="0" fontId="0" fillId="0" borderId="0" xfId="0" applyAlignment="1" applyProtection="1">
      <alignment wrapText="1"/>
    </xf>
    <xf numFmtId="0" fontId="5" fillId="0" borderId="0" xfId="0" applyFont="1" applyBorder="1" applyAlignment="1" applyProtection="1"/>
    <xf numFmtId="0" fontId="0" fillId="0" borderId="0" xfId="0" applyBorder="1" applyAlignment="1" applyProtection="1">
      <alignment vertical="center" wrapText="1"/>
    </xf>
    <xf numFmtId="0" fontId="35" fillId="0" borderId="0" xfId="0" applyFont="1" applyBorder="1" applyAlignment="1" applyProtection="1"/>
    <xf numFmtId="0" fontId="34" fillId="22" borderId="0" xfId="0" applyFont="1" applyFill="1" applyBorder="1" applyAlignment="1" applyProtection="1">
      <alignment vertical="center"/>
    </xf>
    <xf numFmtId="169" fontId="36" fillId="0" borderId="0" xfId="0" applyNumberFormat="1" applyFont="1" applyBorder="1" applyAlignment="1" applyProtection="1">
      <alignment vertical="center"/>
    </xf>
    <xf numFmtId="169" fontId="37" fillId="0" borderId="0" xfId="0" applyNumberFormat="1" applyFont="1" applyBorder="1" applyAlignment="1" applyProtection="1">
      <alignment vertical="center"/>
    </xf>
    <xf numFmtId="0" fontId="0" fillId="4" borderId="3" xfId="0" applyFill="1" applyBorder="1" applyAlignment="1">
      <alignment horizontal="center" vertical="center"/>
    </xf>
    <xf numFmtId="0" fontId="39" fillId="0" borderId="0" xfId="0" applyFont="1" applyAlignment="1" applyProtection="1">
      <alignment horizontal="center"/>
    </xf>
    <xf numFmtId="0" fontId="40" fillId="5" borderId="0" xfId="2" applyNumberFormat="1" applyFont="1" applyFill="1" applyBorder="1" applyAlignment="1" applyProtection="1">
      <alignment horizontal="center" vertical="center"/>
    </xf>
    <xf numFmtId="0" fontId="0" fillId="0" borderId="0" xfId="0" quotePrefix="1" applyProtection="1"/>
    <xf numFmtId="1" fontId="4" fillId="0" borderId="0" xfId="0" applyNumberFormat="1" applyFont="1" applyAlignment="1" applyProtection="1">
      <alignment horizontal="center"/>
    </xf>
    <xf numFmtId="0" fontId="40" fillId="5" borderId="7" xfId="2" applyNumberFormat="1" applyFont="1" applyFill="1" applyBorder="1" applyAlignment="1" applyProtection="1">
      <alignment horizontal="center" vertical="center"/>
    </xf>
    <xf numFmtId="0" fontId="40" fillId="5" borderId="6" xfId="2" applyNumberFormat="1" applyFont="1" applyFill="1" applyBorder="1" applyAlignment="1" applyProtection="1">
      <alignment horizontal="center" vertical="center"/>
    </xf>
    <xf numFmtId="0" fontId="0" fillId="33" borderId="6" xfId="0" applyFill="1" applyBorder="1" applyAlignment="1" applyProtection="1">
      <alignment horizontal="center"/>
      <protection locked="0"/>
    </xf>
    <xf numFmtId="12" fontId="0" fillId="33" borderId="2" xfId="0" applyNumberFormat="1" applyFont="1" applyFill="1" applyBorder="1" applyProtection="1">
      <protection locked="0"/>
    </xf>
    <xf numFmtId="0" fontId="0" fillId="5" borderId="6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12" fontId="0" fillId="0" borderId="2" xfId="0" applyNumberFormat="1" applyBorder="1" applyAlignment="1" applyProtection="1">
      <alignment horizontal="center"/>
    </xf>
    <xf numFmtId="12" fontId="0" fillId="0" borderId="0" xfId="0" applyNumberFormat="1" applyAlignment="1" applyProtection="1">
      <alignment horizontal="center"/>
    </xf>
    <xf numFmtId="12" fontId="0" fillId="5" borderId="2" xfId="0" applyNumberFormat="1" applyFill="1" applyBorder="1" applyProtection="1"/>
    <xf numFmtId="167" fontId="0" fillId="0" borderId="2" xfId="0" applyNumberFormat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2" fontId="0" fillId="4" borderId="2" xfId="0" applyNumberFormat="1" applyFill="1" applyBorder="1" applyAlignment="1" applyProtection="1">
      <alignment horizontal="center"/>
    </xf>
    <xf numFmtId="12" fontId="0" fillId="0" borderId="0" xfId="0" applyNumberFormat="1" applyProtection="1"/>
    <xf numFmtId="2" fontId="0" fillId="0" borderId="0" xfId="0" applyNumberFormat="1" applyProtection="1"/>
    <xf numFmtId="2" fontId="32" fillId="34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Protection="1"/>
    <xf numFmtId="12" fontId="0" fillId="33" borderId="2" xfId="0" applyNumberFormat="1" applyFill="1" applyBorder="1" applyProtection="1">
      <protection locked="0"/>
    </xf>
    <xf numFmtId="12" fontId="0" fillId="33" borderId="2" xfId="0" applyNumberFormat="1" applyFill="1" applyBorder="1" applyAlignment="1" applyProtection="1">
      <alignment horizontal="center"/>
      <protection locked="0"/>
    </xf>
    <xf numFmtId="0" fontId="7" fillId="3" borderId="2" xfId="0" applyFont="1" applyFill="1" applyBorder="1" applyAlignment="1" applyProtection="1">
      <alignment horizontal="center"/>
      <protection locked="0"/>
    </xf>
    <xf numFmtId="0" fontId="7" fillId="3" borderId="3" xfId="0" applyFont="1" applyFill="1" applyBorder="1" applyAlignment="1" applyProtection="1">
      <alignment horizontal="center"/>
      <protection locked="0"/>
    </xf>
    <xf numFmtId="0" fontId="7" fillId="3" borderId="4" xfId="0" applyFont="1" applyFill="1" applyBorder="1" applyAlignment="1" applyProtection="1">
      <alignment horizontal="center"/>
      <protection locked="0"/>
    </xf>
    <xf numFmtId="0" fontId="7" fillId="3" borderId="5" xfId="0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3" fillId="12" borderId="2" xfId="0" applyFont="1" applyFill="1" applyBorder="1" applyAlignment="1">
      <alignment horizontal="center"/>
    </xf>
    <xf numFmtId="0" fontId="18" fillId="5" borderId="9" xfId="0" applyFont="1" applyFill="1" applyBorder="1" applyAlignment="1">
      <alignment horizontal="center" vertical="center" wrapText="1"/>
    </xf>
    <xf numFmtId="0" fontId="18" fillId="5" borderId="18" xfId="0" applyFont="1" applyFill="1" applyBorder="1" applyAlignment="1">
      <alignment horizontal="center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7" fillId="5" borderId="8" xfId="0" applyFont="1" applyFill="1" applyBorder="1" applyAlignment="1">
      <alignment horizontal="center" vertical="center" wrapText="1"/>
    </xf>
    <xf numFmtId="0" fontId="17" fillId="5" borderId="17" xfId="0" applyFont="1" applyFill="1" applyBorder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/>
    </xf>
    <xf numFmtId="0" fontId="0" fillId="5" borderId="9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8" fillId="5" borderId="10" xfId="0" applyFont="1" applyFill="1" applyBorder="1" applyAlignment="1">
      <alignment horizontal="center" vertical="center" wrapText="1"/>
    </xf>
    <xf numFmtId="0" fontId="18" fillId="5" borderId="19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28" fillId="30" borderId="8" xfId="0" applyFont="1" applyFill="1" applyBorder="1" applyAlignment="1">
      <alignment horizontal="center" vertical="center"/>
    </xf>
    <xf numFmtId="0" fontId="28" fillId="30" borderId="17" xfId="0" applyFont="1" applyFill="1" applyBorder="1" applyAlignment="1">
      <alignment horizontal="center" vertical="center"/>
    </xf>
    <xf numFmtId="0" fontId="28" fillId="30" borderId="45" xfId="0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Saída" xfId="3" builtinId="21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F8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'DADOS DE PRODUÇÃO'!$AP$8</c:f>
              <c:strCache>
                <c:ptCount val="1"/>
                <c:pt idx="0">
                  <c:v>REND. QTD. ESP.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'DADOS DE PRODUÇÃO'!$AO$9:$AO$29</c:f>
              <c:numCache>
                <c:formatCode>m/d/yyyy</c:formatCode>
                <c:ptCount val="21"/>
                <c:pt idx="0">
                  <c:v>43158</c:v>
                </c:pt>
                <c:pt idx="1">
                  <c:v>43159</c:v>
                </c:pt>
                <c:pt idx="2">
                  <c:v>43160</c:v>
                </c:pt>
                <c:pt idx="3">
                  <c:v>43161</c:v>
                </c:pt>
                <c:pt idx="4">
                  <c:v>43164</c:v>
                </c:pt>
                <c:pt idx="5">
                  <c:v>43165</c:v>
                </c:pt>
                <c:pt idx="6">
                  <c:v>43166</c:v>
                </c:pt>
                <c:pt idx="7">
                  <c:v>43167</c:v>
                </c:pt>
                <c:pt idx="8">
                  <c:v>43168</c:v>
                </c:pt>
                <c:pt idx="9">
                  <c:v>43171</c:v>
                </c:pt>
                <c:pt idx="10">
                  <c:v>43172</c:v>
                </c:pt>
                <c:pt idx="11">
                  <c:v>43173</c:v>
                </c:pt>
                <c:pt idx="12">
                  <c:v>43174</c:v>
                </c:pt>
                <c:pt idx="13">
                  <c:v>43175</c:v>
                </c:pt>
                <c:pt idx="14">
                  <c:v>43178</c:v>
                </c:pt>
                <c:pt idx="15">
                  <c:v>43179</c:v>
                </c:pt>
                <c:pt idx="16">
                  <c:v>43180</c:v>
                </c:pt>
                <c:pt idx="17">
                  <c:v>43181</c:v>
                </c:pt>
                <c:pt idx="18">
                  <c:v>43182</c:v>
                </c:pt>
                <c:pt idx="19">
                  <c:v>43185</c:v>
                </c:pt>
                <c:pt idx="20">
                  <c:v>43186</c:v>
                </c:pt>
              </c:numCache>
            </c:numRef>
          </c:cat>
          <c:val>
            <c:numRef>
              <c:f>'DADOS DE PRODUÇÃO'!$AP$9:$AP$29</c:f>
              <c:numCache>
                <c:formatCode>0%</c:formatCode>
                <c:ptCount val="21"/>
                <c:pt idx="0">
                  <c:v>0.71488417446605301</c:v>
                </c:pt>
                <c:pt idx="1">
                  <c:v>0.65626367215983661</c:v>
                </c:pt>
                <c:pt idx="2">
                  <c:v>0.76564095085314277</c:v>
                </c:pt>
                <c:pt idx="3">
                  <c:v>0.80210004375091148</c:v>
                </c:pt>
                <c:pt idx="4">
                  <c:v>0.65626367215983661</c:v>
                </c:pt>
                <c:pt idx="5">
                  <c:v>0.72918185795537405</c:v>
                </c:pt>
                <c:pt idx="6">
                  <c:v>0.66574303631325649</c:v>
                </c:pt>
                <c:pt idx="7">
                  <c:v>0.69272276505760533</c:v>
                </c:pt>
                <c:pt idx="8">
                  <c:v>0.22106284411228266</c:v>
                </c:pt>
                <c:pt idx="9">
                  <c:v>0.73687614704094229</c:v>
                </c:pt>
                <c:pt idx="10">
                  <c:v>0.76942890855680712</c:v>
                </c:pt>
                <c:pt idx="11">
                  <c:v>0.4616573451340843</c:v>
                </c:pt>
                <c:pt idx="12">
                  <c:v>0.75759154073285628</c:v>
                </c:pt>
                <c:pt idx="13">
                  <c:v>0.54037584116335768</c:v>
                </c:pt>
                <c:pt idx="14">
                  <c:v>0.65726984842487257</c:v>
                </c:pt>
                <c:pt idx="15">
                  <c:v>0.41756314998986727</c:v>
                </c:pt>
                <c:pt idx="16">
                  <c:v>0</c:v>
                </c:pt>
                <c:pt idx="17">
                  <c:v>0.43798260948618256</c:v>
                </c:pt>
                <c:pt idx="18">
                  <c:v>0.60962444293347029</c:v>
                </c:pt>
                <c:pt idx="19">
                  <c:v>0.41756314998986727</c:v>
                </c:pt>
                <c:pt idx="20">
                  <c:v>0.71024206943705281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737-4C9C-8F29-389E806D827A}"/>
            </c:ext>
          </c:extLst>
        </c:ser>
        <c:ser>
          <c:idx val="1"/>
          <c:order val="1"/>
          <c:tx>
            <c:strRef>
              <c:f>'DADOS DE PRODUÇÃO'!$AQ$8</c:f>
              <c:strCache>
                <c:ptCount val="1"/>
                <c:pt idx="0">
                  <c:v>REND. OCIOSIDADE  DE 10%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'DADOS DE PRODUÇÃO'!$AO$9:$AO$29</c:f>
              <c:numCache>
                <c:formatCode>m/d/yyyy</c:formatCode>
                <c:ptCount val="21"/>
                <c:pt idx="0">
                  <c:v>43158</c:v>
                </c:pt>
                <c:pt idx="1">
                  <c:v>43159</c:v>
                </c:pt>
                <c:pt idx="2">
                  <c:v>43160</c:v>
                </c:pt>
                <c:pt idx="3">
                  <c:v>43161</c:v>
                </c:pt>
                <c:pt idx="4">
                  <c:v>43164</c:v>
                </c:pt>
                <c:pt idx="5">
                  <c:v>43165</c:v>
                </c:pt>
                <c:pt idx="6">
                  <c:v>43166</c:v>
                </c:pt>
                <c:pt idx="7">
                  <c:v>43167</c:v>
                </c:pt>
                <c:pt idx="8">
                  <c:v>43168</c:v>
                </c:pt>
                <c:pt idx="9">
                  <c:v>43171</c:v>
                </c:pt>
                <c:pt idx="10">
                  <c:v>43172</c:v>
                </c:pt>
                <c:pt idx="11">
                  <c:v>43173</c:v>
                </c:pt>
                <c:pt idx="12">
                  <c:v>43174</c:v>
                </c:pt>
                <c:pt idx="13">
                  <c:v>43175</c:v>
                </c:pt>
                <c:pt idx="14">
                  <c:v>43178</c:v>
                </c:pt>
                <c:pt idx="15">
                  <c:v>43179</c:v>
                </c:pt>
                <c:pt idx="16">
                  <c:v>43180</c:v>
                </c:pt>
                <c:pt idx="17">
                  <c:v>43181</c:v>
                </c:pt>
                <c:pt idx="18">
                  <c:v>43182</c:v>
                </c:pt>
                <c:pt idx="19">
                  <c:v>43185</c:v>
                </c:pt>
                <c:pt idx="20">
                  <c:v>43186</c:v>
                </c:pt>
              </c:numCache>
            </c:numRef>
          </c:cat>
          <c:val>
            <c:numRef>
              <c:f>'DADOS DE PRODUÇÃO'!$AQ$9:$AQ$29</c:f>
              <c:numCache>
                <c:formatCode>0%</c:formatCode>
                <c:ptCount val="21"/>
                <c:pt idx="0">
                  <c:v>0.79431574940672545</c:v>
                </c:pt>
                <c:pt idx="1">
                  <c:v>0.72918185795537405</c:v>
                </c:pt>
                <c:pt idx="2">
                  <c:v>0.85071216761460311</c:v>
                </c:pt>
                <c:pt idx="3">
                  <c:v>0.89122227083434602</c:v>
                </c:pt>
                <c:pt idx="4">
                  <c:v>0.72918185795537405</c:v>
                </c:pt>
                <c:pt idx="5">
                  <c:v>0.81020206439486009</c:v>
                </c:pt>
                <c:pt idx="6">
                  <c:v>0.73971448479250723</c:v>
                </c:pt>
                <c:pt idx="7">
                  <c:v>0.76969196117511707</c:v>
                </c:pt>
                <c:pt idx="8">
                  <c:v>0.24562538234698075</c:v>
                </c:pt>
                <c:pt idx="9">
                  <c:v>0.8187512744899359</c:v>
                </c:pt>
                <c:pt idx="10">
                  <c:v>0.85492100950756356</c:v>
                </c:pt>
                <c:pt idx="11">
                  <c:v>0.51295260570453816</c:v>
                </c:pt>
                <c:pt idx="12">
                  <c:v>0.84176837859206255</c:v>
                </c:pt>
                <c:pt idx="13">
                  <c:v>0.60041760129261967</c:v>
                </c:pt>
                <c:pt idx="14">
                  <c:v>0.73029983158319178</c:v>
                </c:pt>
                <c:pt idx="15">
                  <c:v>0.46395905554429701</c:v>
                </c:pt>
                <c:pt idx="16">
                  <c:v>0</c:v>
                </c:pt>
                <c:pt idx="17">
                  <c:v>0.4866473438735362</c:v>
                </c:pt>
                <c:pt idx="18">
                  <c:v>0.6773604921483003</c:v>
                </c:pt>
                <c:pt idx="19">
                  <c:v>0.46395905554429701</c:v>
                </c:pt>
                <c:pt idx="20">
                  <c:v>0.78915785493005863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737-4C9C-8F29-389E806D827A}"/>
            </c:ext>
          </c:extLst>
        </c:ser>
        <c:ser>
          <c:idx val="2"/>
          <c:order val="2"/>
          <c:tx>
            <c:strRef>
              <c:f>'DADOS DE PRODUÇÃO'!$AR$8</c:f>
              <c:strCache>
                <c:ptCount val="1"/>
                <c:pt idx="0">
                  <c:v>REND. OCIOSIDADE REAL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'DADOS DE PRODUÇÃO'!$AO$9:$AO$29</c:f>
              <c:numCache>
                <c:formatCode>m/d/yyyy</c:formatCode>
                <c:ptCount val="21"/>
                <c:pt idx="0">
                  <c:v>43158</c:v>
                </c:pt>
                <c:pt idx="1">
                  <c:v>43159</c:v>
                </c:pt>
                <c:pt idx="2">
                  <c:v>43160</c:v>
                </c:pt>
                <c:pt idx="3">
                  <c:v>43161</c:v>
                </c:pt>
                <c:pt idx="4">
                  <c:v>43164</c:v>
                </c:pt>
                <c:pt idx="5">
                  <c:v>43165</c:v>
                </c:pt>
                <c:pt idx="6">
                  <c:v>43166</c:v>
                </c:pt>
                <c:pt idx="7">
                  <c:v>43167</c:v>
                </c:pt>
                <c:pt idx="8">
                  <c:v>43168</c:v>
                </c:pt>
                <c:pt idx="9">
                  <c:v>43171</c:v>
                </c:pt>
                <c:pt idx="10">
                  <c:v>43172</c:v>
                </c:pt>
                <c:pt idx="11">
                  <c:v>43173</c:v>
                </c:pt>
                <c:pt idx="12">
                  <c:v>43174</c:v>
                </c:pt>
                <c:pt idx="13">
                  <c:v>43175</c:v>
                </c:pt>
                <c:pt idx="14">
                  <c:v>43178</c:v>
                </c:pt>
                <c:pt idx="15">
                  <c:v>43179</c:v>
                </c:pt>
                <c:pt idx="16">
                  <c:v>43180</c:v>
                </c:pt>
                <c:pt idx="17">
                  <c:v>43181</c:v>
                </c:pt>
                <c:pt idx="18">
                  <c:v>43182</c:v>
                </c:pt>
                <c:pt idx="19">
                  <c:v>43185</c:v>
                </c:pt>
                <c:pt idx="20">
                  <c:v>43186</c:v>
                </c:pt>
              </c:numCache>
            </c:numRef>
          </c:cat>
          <c:val>
            <c:numRef>
              <c:f>'DADOS DE PRODUÇÃO'!$AR$9:$AR$29</c:f>
              <c:numCache>
                <c:formatCode>0%</c:formatCode>
                <c:ptCount val="21"/>
                <c:pt idx="0">
                  <c:v>0.8737473243473981</c:v>
                </c:pt>
                <c:pt idx="1">
                  <c:v>0.80210004375091148</c:v>
                </c:pt>
                <c:pt idx="2">
                  <c:v>0.76564095085314277</c:v>
                </c:pt>
                <c:pt idx="3">
                  <c:v>0.80210004375091148</c:v>
                </c:pt>
                <c:pt idx="4">
                  <c:v>0.71395718180026191</c:v>
                </c:pt>
                <c:pt idx="5">
                  <c:v>0.72918185795537405</c:v>
                </c:pt>
                <c:pt idx="6">
                  <c:v>0.66574303631325649</c:v>
                </c:pt>
                <c:pt idx="7">
                  <c:v>1.293953844164206</c:v>
                </c:pt>
                <c:pt idx="8">
                  <c:v>0.5611595273619483</c:v>
                </c:pt>
                <c:pt idx="9">
                  <c:v>0.83851423628796873</c:v>
                </c:pt>
                <c:pt idx="10">
                  <c:v>0.76942890855680712</c:v>
                </c:pt>
                <c:pt idx="11">
                  <c:v>1.1718994145711368</c:v>
                </c:pt>
                <c:pt idx="12">
                  <c:v>0.86208692566152623</c:v>
                </c:pt>
                <c:pt idx="13">
                  <c:v>0.77532185906046958</c:v>
                </c:pt>
                <c:pt idx="14">
                  <c:v>1.0808922756488766</c:v>
                </c:pt>
                <c:pt idx="15">
                  <c:v>0.87954791168078439</c:v>
                </c:pt>
                <c:pt idx="16">
                  <c:v>0</c:v>
                </c:pt>
                <c:pt idx="17">
                  <c:v>0.9225591135985548</c:v>
                </c:pt>
                <c:pt idx="18">
                  <c:v>0.79411605066333624</c:v>
                </c:pt>
                <c:pt idx="19">
                  <c:v>0.65617066426979143</c:v>
                </c:pt>
                <c:pt idx="20">
                  <c:v>1.0190429691922931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737-4C9C-8F29-389E806D8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7176368"/>
        <c:axId val="1557178544"/>
      </c:lineChart>
      <c:dateAx>
        <c:axId val="1557176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7178544"/>
        <c:crosses val="autoZero"/>
        <c:auto val="1"/>
        <c:lblOffset val="100"/>
        <c:baseTimeUnit val="days"/>
      </c:dateAx>
      <c:valAx>
        <c:axId val="155717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717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Turnos</a:t>
            </a:r>
            <a:r>
              <a:rPr lang="en-US" baseline="0"/>
              <a:t> de Trabalho - 13714 peças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[1]DADOS!$G$40</c:f>
              <c:strCache>
                <c:ptCount val="1"/>
                <c:pt idx="0">
                  <c:v>turnos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16E-46D1-9017-580E085BFA3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16E-46D1-9017-580E085BFA3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16E-46D1-9017-580E085BFA3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[1]DADOS!$F$41:$F$46</c:f>
              <c:strCache>
                <c:ptCount val="6"/>
                <c:pt idx="0">
                  <c:v>Produto A </c:v>
                </c:pt>
                <c:pt idx="1">
                  <c:v>Fixadores A </c:v>
                </c:pt>
                <c:pt idx="2">
                  <c:v>Produto B </c:v>
                </c:pt>
                <c:pt idx="3">
                  <c:v>Fixadores B </c:v>
                </c:pt>
                <c:pt idx="4">
                  <c:v>Produto C </c:v>
                </c:pt>
                <c:pt idx="5">
                  <c:v>Fixadores C </c:v>
                </c:pt>
              </c:strCache>
            </c:strRef>
          </c:cat>
          <c:val>
            <c:numRef>
              <c:f>[1]DADOS!$G$41:$G$46</c:f>
              <c:numCache>
                <c:formatCode>General</c:formatCode>
                <c:ptCount val="6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16E-46D1-9017-580E085BFA3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557180720"/>
        <c:axId val="1557179088"/>
      </c:barChart>
      <c:catAx>
        <c:axId val="15571807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57179088"/>
        <c:crosses val="autoZero"/>
        <c:auto val="1"/>
        <c:lblAlgn val="ctr"/>
        <c:lblOffset val="100"/>
        <c:noMultiLvlLbl val="0"/>
      </c:catAx>
      <c:valAx>
        <c:axId val="1557179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57180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FF0000"/>
                </a:solidFill>
              </a:rPr>
              <a:t>Melhoria sobre o projeto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DASHBOARD!$A$14</c:f>
              <c:strCache>
                <c:ptCount val="1"/>
                <c:pt idx="0">
                  <c:v>MELHORIA LA - PROJETOS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D79-43FD-88E3-9CBBA5BB9DC6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D79-43FD-88E3-9CBBA5BB9DC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DASHBOARD!$A$15</c:f>
              <c:numCache>
                <c:formatCode>0%</c:formatCode>
                <c:ptCount val="1"/>
                <c:pt idx="0">
                  <c:v>0.26792452830188673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D79-43FD-88E3-9CBBA5BB9DC6}"/>
            </c:ext>
          </c:extLst>
        </c:ser>
        <c:ser>
          <c:idx val="1"/>
          <c:order val="1"/>
          <c:tx>
            <c:strRef>
              <c:f>DASHBOARD!$C$14</c:f>
              <c:strCache>
                <c:ptCount val="1"/>
                <c:pt idx="0">
                  <c:v>MELHORIA LB - PROJETOS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51139EAE-1BB9-4CAE-9E30-2DBE40DBD54C}" type="VALUE">
                      <a:rPr lang="en-US" sz="2000">
                        <a:solidFill>
                          <a:srgbClr val="C00000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3D79-43FD-88E3-9CBBA5BB9DC6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9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DASHBOARD!$C$15</c:f>
              <c:numCache>
                <c:formatCode>0%</c:formatCode>
                <c:ptCount val="1"/>
                <c:pt idx="0">
                  <c:v>1.060377358490566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D79-43FD-88E3-9CBBA5BB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57185616"/>
        <c:axId val="1557186160"/>
      </c:barChart>
      <c:catAx>
        <c:axId val="1557185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557186160"/>
        <c:crosses val="autoZero"/>
        <c:auto val="1"/>
        <c:lblAlgn val="ctr"/>
        <c:lblOffset val="100"/>
        <c:noMultiLvlLbl val="0"/>
      </c:catAx>
      <c:valAx>
        <c:axId val="155718616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718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Quantidade de fixadores por turno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68-4102-B9B1-41DB181E389F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5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DASHBOARD!$A$6:$C$6</c:f>
              <c:strCache>
                <c:ptCount val="3"/>
                <c:pt idx="0">
                  <c:v>QUANTIDADE DE FIXADORES LA</c:v>
                </c:pt>
                <c:pt idx="2">
                  <c:v>QUANTIDADE DE FIXADORES LB</c:v>
                </c:pt>
              </c:strCache>
            </c:strRef>
          </c:cat>
          <c:val>
            <c:numRef>
              <c:f>DASHBOARD!$A$7:$C$7</c:f>
              <c:numCache>
                <c:formatCode>0</c:formatCode>
                <c:ptCount val="3"/>
                <c:pt idx="0">
                  <c:v>17388.679245283016</c:v>
                </c:pt>
                <c:pt idx="2">
                  <c:v>28256.603773584906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268-4102-B9B1-41DB181E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7188880"/>
        <c:axId val="1372574368"/>
      </c:barChart>
      <c:catAx>
        <c:axId val="155718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2574368"/>
        <c:crosses val="autoZero"/>
        <c:auto val="1"/>
        <c:lblAlgn val="ctr"/>
        <c:lblOffset val="100"/>
        <c:noMultiLvlLbl val="0"/>
      </c:catAx>
      <c:valAx>
        <c:axId val="1372574368"/>
        <c:scaling>
          <c:orientation val="minMax"/>
          <c:max val="30000"/>
          <c:min val="14000"/>
        </c:scaling>
        <c:delete val="1"/>
        <c:axPos val="l"/>
        <c:numFmt formatCode="0" sourceLinked="1"/>
        <c:majorTickMark val="none"/>
        <c:minorTickMark val="none"/>
        <c:tickLblPos val="nextTo"/>
        <c:crossAx val="1557188880"/>
        <c:crosses val="autoZero"/>
        <c:crossBetween val="between"/>
        <c:majorUnit val="2000"/>
        <c:min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baseline="0">
                <a:solidFill>
                  <a:srgbClr val="FF0000"/>
                </a:solidFill>
                <a:effectLst/>
              </a:rPr>
              <a:t>Melhoria sobre a realidade</a:t>
            </a:r>
            <a:endParaRPr lang="pt-BR" sz="1400">
              <a:solidFill>
                <a:srgbClr val="FF0000"/>
              </a:solidFill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DASHBOARD!$A$16</c:f>
              <c:strCache>
                <c:ptCount val="1"/>
                <c:pt idx="0">
                  <c:v>MELHORIA DADOS REAIS - LA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29-4352-BAFF-2AB20957E410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370C646C-2CDF-489F-AB7E-26A070317D79}" type="VALUE">
                      <a:rPr lang="en-US" b="1">
                        <a:solidFill>
                          <a:srgbClr val="C00000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B29-4352-BAFF-2AB20957E41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76A02E-5757-45A3-8330-01CDC3167D48}" type="VALUE">
                      <a:rPr lang="en-US">
                        <a:solidFill>
                          <a:schemeClr val="accent2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B29-4352-BAFF-2AB20957E410}"/>
                </c:ex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DASHBOARD!$A$17</c:f>
              <c:numCache>
                <c:formatCode>0%</c:formatCode>
                <c:ptCount val="1"/>
                <c:pt idx="0">
                  <c:v>0.90228310143229473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B29-4352-BAFF-2AB20957E410}"/>
            </c:ext>
          </c:extLst>
        </c:ser>
        <c:ser>
          <c:idx val="1"/>
          <c:order val="1"/>
          <c:tx>
            <c:strRef>
              <c:f>DASHBOARD!$C$16</c:f>
              <c:strCache>
                <c:ptCount val="1"/>
                <c:pt idx="0">
                  <c:v>MELHORIA DADOS REAIS - LB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DASHBOARD!$C$17</c:f>
              <c:numCache>
                <c:formatCode>0%</c:formatCode>
                <c:ptCount val="1"/>
                <c:pt idx="0">
                  <c:v>2.0912100398274798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B29-4352-BAFF-2AB20957E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74912"/>
        <c:axId val="1372575456"/>
      </c:barChart>
      <c:catAx>
        <c:axId val="1372574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575456"/>
        <c:crosses val="autoZero"/>
        <c:auto val="1"/>
        <c:lblAlgn val="ctr"/>
        <c:lblOffset val="100"/>
        <c:noMultiLvlLbl val="0"/>
      </c:catAx>
      <c:valAx>
        <c:axId val="137257545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25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FIXADORES - PINTURA'!A1"/><Relationship Id="rId3" Type="http://schemas.openxmlformats.org/officeDocument/2006/relationships/hyperlink" Target="#'MATRIZ DE DECIS&#195;O - OBJETIVO'!A1"/><Relationship Id="rId7" Type="http://schemas.openxmlformats.org/officeDocument/2006/relationships/hyperlink" Target="#'LAYOUTS - DESENHO'!A1"/><Relationship Id="rId12" Type="http://schemas.openxmlformats.org/officeDocument/2006/relationships/image" Target="../media/image3.jpg"/><Relationship Id="rId2" Type="http://schemas.openxmlformats.org/officeDocument/2006/relationships/hyperlink" Target="#'MATRIZ DE DECIS&#195;O - CRIT&#201;RIOS'!A1"/><Relationship Id="rId1" Type="http://schemas.openxmlformats.org/officeDocument/2006/relationships/hyperlink" Target="#'FOCO PRINCIPAL'!A1"/><Relationship Id="rId6" Type="http://schemas.openxmlformats.org/officeDocument/2006/relationships/hyperlink" Target="#'PEDIDOS DE VENDAS'!A1"/><Relationship Id="rId11" Type="http://schemas.openxmlformats.org/officeDocument/2006/relationships/hyperlink" Target="#DASHBOARD!A1"/><Relationship Id="rId5" Type="http://schemas.openxmlformats.org/officeDocument/2006/relationships/hyperlink" Target="#'DADOS DE PRODU&#199;&#195;O'!A1"/><Relationship Id="rId10" Type="http://schemas.openxmlformats.org/officeDocument/2006/relationships/image" Target="../media/image2.png"/><Relationship Id="rId4" Type="http://schemas.openxmlformats.org/officeDocument/2006/relationships/hyperlink" Target="#'DADOS DOS LAYOUTS'!A1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MATRIZ DE DECIS&#195;O - CRIT&#201;RIOS'!A1"/><Relationship Id="rId2" Type="http://schemas.openxmlformats.org/officeDocument/2006/relationships/hyperlink" Target="#'MATRIZ DE DECIS&#195;O - OBJETIVO'!A1"/><Relationship Id="rId1" Type="http://schemas.openxmlformats.org/officeDocument/2006/relationships/hyperlink" Target="#ATALHOS!A1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FOCO PRINCIPAL'!A1"/><Relationship Id="rId2" Type="http://schemas.openxmlformats.org/officeDocument/2006/relationships/hyperlink" Target="#'MATRIZ DE DECIS&#195;O - OBJETIVO'!A1"/><Relationship Id="rId1" Type="http://schemas.openxmlformats.org/officeDocument/2006/relationships/hyperlink" Target="#ATALHO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ADOS DOS LAYOUTS'!A1"/><Relationship Id="rId2" Type="http://schemas.openxmlformats.org/officeDocument/2006/relationships/hyperlink" Target="#'MATRIZ DE DECIS&#195;O - CRIT&#201;RIOS'!A1"/><Relationship Id="rId1" Type="http://schemas.openxmlformats.org/officeDocument/2006/relationships/hyperlink" Target="#ATALH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DADOS DE PRODU&#199;&#195;O'!A1"/><Relationship Id="rId2" Type="http://schemas.openxmlformats.org/officeDocument/2006/relationships/hyperlink" Target="#'MATRIZ DE DECIS&#195;O - OBJETIVO'!A1"/><Relationship Id="rId1" Type="http://schemas.openxmlformats.org/officeDocument/2006/relationships/hyperlink" Target="#ATALH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PEDIDOS DE VENDAS'!A1"/><Relationship Id="rId2" Type="http://schemas.openxmlformats.org/officeDocument/2006/relationships/hyperlink" Target="#'DADOS DOS LAYOUTS'!A1"/><Relationship Id="rId1" Type="http://schemas.openxmlformats.org/officeDocument/2006/relationships/hyperlink" Target="#ATALHOS!A1"/><Relationship Id="rId4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LAYOUTS - DESENHO'!A1"/><Relationship Id="rId2" Type="http://schemas.openxmlformats.org/officeDocument/2006/relationships/hyperlink" Target="#'DADOS DE PRODU&#199;&#195;O'!A1"/><Relationship Id="rId1" Type="http://schemas.openxmlformats.org/officeDocument/2006/relationships/hyperlink" Target="#ATALHO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FIXADORES - PINTURA'!A1"/><Relationship Id="rId2" Type="http://schemas.openxmlformats.org/officeDocument/2006/relationships/hyperlink" Target="#'PEDIDOS DE VENDAS'!A1"/><Relationship Id="rId1" Type="http://schemas.openxmlformats.org/officeDocument/2006/relationships/hyperlink" Target="#ATALHO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LAYOUTS - DESENHO'!A1"/><Relationship Id="rId2" Type="http://schemas.openxmlformats.org/officeDocument/2006/relationships/hyperlink" Target="#ATALHOS!A1"/><Relationship Id="rId1" Type="http://schemas.openxmlformats.org/officeDocument/2006/relationships/chart" Target="../charts/chart2.xml"/><Relationship Id="rId4" Type="http://schemas.openxmlformats.org/officeDocument/2006/relationships/hyperlink" Target="#DASHBOARD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hyperlink" Target="#ATALH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370659</xdr:colOff>
      <xdr:row>5</xdr:row>
      <xdr:rowOff>179614</xdr:rowOff>
    </xdr:from>
    <xdr:to>
      <xdr:col>6</xdr:col>
      <xdr:colOff>313059</xdr:colOff>
      <xdr:row>8</xdr:row>
      <xdr:rowOff>164442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82980" y="1132114"/>
          <a:ext cx="3616329" cy="556328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1 - FOCO PRINCIPAL</a:t>
          </a:r>
        </a:p>
      </xdr:txBody>
    </xdr:sp>
    <xdr:clientData/>
  </xdr:twoCellAnchor>
  <xdr:twoCellAnchor>
    <xdr:from>
      <xdr:col>0</xdr:col>
      <xdr:colOff>370659</xdr:colOff>
      <xdr:row>10</xdr:row>
      <xdr:rowOff>171448</xdr:rowOff>
    </xdr:from>
    <xdr:to>
      <xdr:col>6</xdr:col>
      <xdr:colOff>313059</xdr:colOff>
      <xdr:row>13</xdr:row>
      <xdr:rowOff>150834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82980" y="2076448"/>
          <a:ext cx="3616329" cy="550886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2 - MATRIZ DE DECISÃO - CRITÉRIOS</a:t>
          </a:r>
        </a:p>
      </xdr:txBody>
    </xdr:sp>
    <xdr:clientData/>
  </xdr:twoCellAnchor>
  <xdr:twoCellAnchor>
    <xdr:from>
      <xdr:col>0</xdr:col>
      <xdr:colOff>370659</xdr:colOff>
      <xdr:row>15</xdr:row>
      <xdr:rowOff>174171</xdr:rowOff>
    </xdr:from>
    <xdr:to>
      <xdr:col>6</xdr:col>
      <xdr:colOff>313059</xdr:colOff>
      <xdr:row>18</xdr:row>
      <xdr:rowOff>158999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982980" y="3031671"/>
          <a:ext cx="3616329" cy="556328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3 - MATRIZ DE DECISÃO - OBJETIVO</a:t>
          </a:r>
        </a:p>
      </xdr:txBody>
    </xdr:sp>
    <xdr:clientData/>
  </xdr:twoCellAnchor>
  <xdr:twoCellAnchor>
    <xdr:from>
      <xdr:col>0</xdr:col>
      <xdr:colOff>370659</xdr:colOff>
      <xdr:row>20</xdr:row>
      <xdr:rowOff>130628</xdr:rowOff>
    </xdr:from>
    <xdr:to>
      <xdr:col>6</xdr:col>
      <xdr:colOff>313059</xdr:colOff>
      <xdr:row>23</xdr:row>
      <xdr:rowOff>115457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982980" y="3940628"/>
          <a:ext cx="3616329" cy="556329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4 - DADOS DOS LAYOUTS</a:t>
          </a:r>
        </a:p>
      </xdr:txBody>
    </xdr:sp>
    <xdr:clientData/>
  </xdr:twoCellAnchor>
  <xdr:twoCellAnchor>
    <xdr:from>
      <xdr:col>7</xdr:col>
      <xdr:colOff>348341</xdr:colOff>
      <xdr:row>20</xdr:row>
      <xdr:rowOff>130628</xdr:rowOff>
    </xdr:from>
    <xdr:to>
      <xdr:col>13</xdr:col>
      <xdr:colOff>290741</xdr:colOff>
      <xdr:row>23</xdr:row>
      <xdr:rowOff>115457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5246912" y="3940628"/>
          <a:ext cx="3616329" cy="556329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8 - DADOS DE PRODUÇÃO</a:t>
          </a:r>
        </a:p>
      </xdr:txBody>
    </xdr:sp>
    <xdr:clientData/>
  </xdr:twoCellAnchor>
  <xdr:twoCellAnchor>
    <xdr:from>
      <xdr:col>7</xdr:col>
      <xdr:colOff>348341</xdr:colOff>
      <xdr:row>5</xdr:row>
      <xdr:rowOff>179614</xdr:rowOff>
    </xdr:from>
    <xdr:to>
      <xdr:col>13</xdr:col>
      <xdr:colOff>290741</xdr:colOff>
      <xdr:row>8</xdr:row>
      <xdr:rowOff>164442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246912" y="1132114"/>
          <a:ext cx="3616329" cy="556328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5 - PEDIDOS DE VENDAS</a:t>
          </a:r>
        </a:p>
      </xdr:txBody>
    </xdr:sp>
    <xdr:clientData/>
  </xdr:twoCellAnchor>
  <xdr:twoCellAnchor>
    <xdr:from>
      <xdr:col>7</xdr:col>
      <xdr:colOff>348341</xdr:colOff>
      <xdr:row>10</xdr:row>
      <xdr:rowOff>171448</xdr:rowOff>
    </xdr:from>
    <xdr:to>
      <xdr:col>13</xdr:col>
      <xdr:colOff>290741</xdr:colOff>
      <xdr:row>13</xdr:row>
      <xdr:rowOff>156277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5246912" y="2076448"/>
          <a:ext cx="3616329" cy="556329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6 - LAYOUTS - DESENHO</a:t>
          </a:r>
        </a:p>
      </xdr:txBody>
    </xdr:sp>
    <xdr:clientData/>
  </xdr:twoCellAnchor>
  <xdr:twoCellAnchor>
    <xdr:from>
      <xdr:col>7</xdr:col>
      <xdr:colOff>348341</xdr:colOff>
      <xdr:row>15</xdr:row>
      <xdr:rowOff>174171</xdr:rowOff>
    </xdr:from>
    <xdr:to>
      <xdr:col>13</xdr:col>
      <xdr:colOff>290741</xdr:colOff>
      <xdr:row>18</xdr:row>
      <xdr:rowOff>158999</xdr:rowOff>
    </xdr:to>
    <xdr:sp macro="" textlink="">
      <xdr:nvSpPr>
        <xdr:cNvPr id="11" name="Retângulo: Cantos Arredondados 10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5246912" y="3031671"/>
          <a:ext cx="3616329" cy="556328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7 - FIXADORES - PINTURA</a:t>
          </a:r>
        </a:p>
      </xdr:txBody>
    </xdr:sp>
    <xdr:clientData/>
  </xdr:twoCellAnchor>
  <xdr:twoCellAnchor>
    <xdr:from>
      <xdr:col>14</xdr:col>
      <xdr:colOff>66333</xdr:colOff>
      <xdr:row>1</xdr:row>
      <xdr:rowOff>24832</xdr:rowOff>
    </xdr:from>
    <xdr:to>
      <xdr:col>25</xdr:col>
      <xdr:colOff>66334</xdr:colOff>
      <xdr:row>14</xdr:row>
      <xdr:rowOff>11224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8567396" y="215332"/>
          <a:ext cx="6679407" cy="246289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400" b="0" i="0" cap="none" spc="0">
              <a:ln w="0"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Proposta</a:t>
          </a:r>
          <a:r>
            <a:rPr lang="pt-BR" sz="2400" b="0" i="0" cap="none" spc="0" baseline="0">
              <a:ln w="0"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e implementação de um Sistema de Apoio à Decisão (SAD) para avaliação de layouts: estruturação e modelagem matemática a partir do método AHP.</a:t>
          </a:r>
          <a:endParaRPr lang="pt-BR" sz="2400" b="0" cap="none" spc="0">
            <a:ln w="0">
              <a:noFill/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19</xdr:col>
      <xdr:colOff>345022</xdr:colOff>
      <xdr:row>17</xdr:row>
      <xdr:rowOff>105231</xdr:rowOff>
    </xdr:from>
    <xdr:to>
      <xdr:col>25</xdr:col>
      <xdr:colOff>42521</xdr:colOff>
      <xdr:row>22</xdr:row>
      <xdr:rowOff>76541</xdr:rowOff>
    </xdr:to>
    <xdr:pic>
      <xdr:nvPicPr>
        <xdr:cNvPr id="8" name="Imagem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882178" y="3343731"/>
          <a:ext cx="3340812" cy="923810"/>
        </a:xfrm>
        <a:prstGeom prst="rect">
          <a:avLst/>
        </a:prstGeom>
      </xdr:spPr>
    </xdr:pic>
    <xdr:clientData/>
  </xdr:twoCellAnchor>
  <xdr:twoCellAnchor editAs="oneCell">
    <xdr:from>
      <xdr:col>22</xdr:col>
      <xdr:colOff>497851</xdr:colOff>
      <xdr:row>23</xdr:row>
      <xdr:rowOff>70757</xdr:rowOff>
    </xdr:from>
    <xdr:to>
      <xdr:col>24</xdr:col>
      <xdr:colOff>448356</xdr:colOff>
      <xdr:row>29</xdr:row>
      <xdr:rowOff>97972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9051" y="4233182"/>
          <a:ext cx="1169705" cy="1113065"/>
        </a:xfrm>
        <a:prstGeom prst="rect">
          <a:avLst/>
        </a:prstGeom>
      </xdr:spPr>
    </xdr:pic>
    <xdr:clientData/>
  </xdr:twoCellAnchor>
  <xdr:twoCellAnchor>
    <xdr:from>
      <xdr:col>0</xdr:col>
      <xdr:colOff>367394</xdr:colOff>
      <xdr:row>1</xdr:row>
      <xdr:rowOff>0</xdr:rowOff>
    </xdr:from>
    <xdr:to>
      <xdr:col>13</xdr:col>
      <xdr:colOff>299357</xdr:colOff>
      <xdr:row>3</xdr:row>
      <xdr:rowOff>175328</xdr:rowOff>
    </xdr:to>
    <xdr:sp macro="" textlink="">
      <xdr:nvSpPr>
        <xdr:cNvPr id="15" name="Retângulo: Cantos Arredondados 1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979715" y="190500"/>
          <a:ext cx="7892142" cy="556328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</a:rPr>
            <a:t>PAINEL</a:t>
          </a:r>
          <a:r>
            <a:rPr lang="pt-BR" sz="1800" baseline="0">
              <a:solidFill>
                <a:schemeClr val="bg1"/>
              </a:solidFill>
            </a:rPr>
            <a:t> INFORMATIVO</a:t>
          </a:r>
          <a:endParaRPr lang="pt-BR" sz="18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14</xdr:col>
      <xdr:colOff>119062</xdr:colOff>
      <xdr:row>14</xdr:row>
      <xdr:rowOff>154781</xdr:rowOff>
    </xdr:from>
    <xdr:to>
      <xdr:col>17</xdr:col>
      <xdr:colOff>392906</xdr:colOff>
      <xdr:row>30</xdr:row>
      <xdr:rowOff>40481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0125" y="2821781"/>
          <a:ext cx="2095500" cy="2933700"/>
        </a:xfrm>
        <a:prstGeom prst="rect">
          <a:avLst/>
        </a:prstGeom>
        <a:solidFill>
          <a:srgbClr val="FFFFFF">
            <a:shade val="85000"/>
          </a:srgbClr>
        </a:solidFill>
        <a:ln w="190500" cap="sq">
          <a:solidFill>
            <a:srgbClr val="FFFFFF"/>
          </a:solidFill>
          <a:miter lim="800000"/>
        </a:ln>
        <a:effectLst>
          <a:outerShdw blurRad="65000" dist="50800" dir="12900000" kx="195000" ky="145000" algn="tl" rotWithShape="0">
            <a:srgbClr val="000000">
              <a:alpha val="30000"/>
            </a:srgbClr>
          </a:outerShdw>
        </a:effectLst>
        <a:scene3d>
          <a:camera prst="orthographicFront">
            <a:rot lat="0" lon="0" rev="360000"/>
          </a:camera>
          <a:lightRig rig="twoPt" dir="t">
            <a:rot lat="0" lon="0" rev="7200000"/>
          </a:lightRig>
        </a:scene3d>
        <a:sp3d contourW="12700">
          <a:bevelT w="25400" h="19050"/>
          <a:contourClr>
            <a:srgbClr val="969696"/>
          </a:contourClr>
        </a:sp3d>
      </xdr:spPr>
    </xdr:pic>
    <xdr:clientData/>
  </xdr:twoCellAnchor>
  <xdr:twoCellAnchor>
    <xdr:from>
      <xdr:col>16</xdr:col>
      <xdr:colOff>154781</xdr:colOff>
      <xdr:row>31</xdr:row>
      <xdr:rowOff>35719</xdr:rowOff>
    </xdr:from>
    <xdr:to>
      <xdr:col>25</xdr:col>
      <xdr:colOff>214312</xdr:colOff>
      <xdr:row>33</xdr:row>
      <xdr:rowOff>71437</xdr:rowOff>
    </xdr:to>
    <xdr:sp macro="" textlink="">
      <xdr:nvSpPr>
        <xdr:cNvPr id="14" name="CaixaDeTexto 13"/>
        <xdr:cNvSpPr txBox="1"/>
      </xdr:nvSpPr>
      <xdr:spPr>
        <a:xfrm>
          <a:off x="9870281" y="5941219"/>
          <a:ext cx="5524500" cy="4167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200"/>
            <a:t>Elaborado por: Lucas Ramon dos Santos Hermogenes</a:t>
          </a:r>
        </a:p>
      </xdr:txBody>
    </xdr:sp>
    <xdr:clientData/>
  </xdr:twoCellAnchor>
  <xdr:twoCellAnchor>
    <xdr:from>
      <xdr:col>14</xdr:col>
      <xdr:colOff>297656</xdr:colOff>
      <xdr:row>31</xdr:row>
      <xdr:rowOff>107156</xdr:rowOff>
    </xdr:from>
    <xdr:to>
      <xdr:col>17</xdr:col>
      <xdr:colOff>547687</xdr:colOff>
      <xdr:row>32</xdr:row>
      <xdr:rowOff>154781</xdr:rowOff>
    </xdr:to>
    <xdr:sp macro="" textlink="">
      <xdr:nvSpPr>
        <xdr:cNvPr id="16" name="CaixaDeTexto 15"/>
        <xdr:cNvSpPr txBox="1"/>
      </xdr:nvSpPr>
      <xdr:spPr>
        <a:xfrm>
          <a:off x="8798719" y="6012656"/>
          <a:ext cx="2071687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Thomas Saaty</a:t>
          </a:r>
          <a:endParaRPr lang="pt-BR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390525</xdr:colOff>
      <xdr:row>1</xdr:row>
      <xdr:rowOff>95251</xdr:rowOff>
    </xdr:from>
    <xdr:to>
      <xdr:col>8</xdr:col>
      <xdr:colOff>590549</xdr:colOff>
      <xdr:row>5</xdr:row>
      <xdr:rowOff>95251</xdr:rowOff>
    </xdr:to>
    <xdr:sp macro="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3438525" y="278131"/>
          <a:ext cx="2028824" cy="73152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ESCOLHER</a:t>
          </a:r>
          <a:r>
            <a:rPr lang="pt-BR" sz="1100" baseline="0"/>
            <a:t> O MELHOR LAYOUT PARA AUMENTAR A PRODUÇÃO DOS FIXADORES</a:t>
          </a:r>
          <a:endParaRPr lang="pt-BR" sz="1100"/>
        </a:p>
      </xdr:txBody>
    </xdr:sp>
    <xdr:clientData/>
  </xdr:twoCellAnchor>
  <xdr:twoCellAnchor>
    <xdr:from>
      <xdr:col>1</xdr:col>
      <xdr:colOff>71437</xdr:colOff>
      <xdr:row>11</xdr:row>
      <xdr:rowOff>85725</xdr:rowOff>
    </xdr:from>
    <xdr:to>
      <xdr:col>3</xdr:col>
      <xdr:colOff>190500</xdr:colOff>
      <xdr:row>14</xdr:row>
      <xdr:rowOff>161925</xdr:rowOff>
    </xdr:to>
    <xdr:sp macro="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78656" y="2181225"/>
          <a:ext cx="1333500" cy="647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MOVIMENTAÇÃO DE MATERIAL</a:t>
          </a:r>
        </a:p>
      </xdr:txBody>
    </xdr:sp>
    <xdr:clientData/>
  </xdr:twoCellAnchor>
  <xdr:twoCellAnchor>
    <xdr:from>
      <xdr:col>3</xdr:col>
      <xdr:colOff>561976</xdr:colOff>
      <xdr:row>11</xdr:row>
      <xdr:rowOff>85725</xdr:rowOff>
    </xdr:from>
    <xdr:to>
      <xdr:col>5</xdr:col>
      <xdr:colOff>142875</xdr:colOff>
      <xdr:row>14</xdr:row>
      <xdr:rowOff>161925</xdr:rowOff>
    </xdr:to>
    <xdr:sp macro="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2390776" y="2097405"/>
          <a:ext cx="800099" cy="62484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CUSTO INICIAL</a:t>
          </a:r>
        </a:p>
      </xdr:txBody>
    </xdr:sp>
    <xdr:clientData/>
  </xdr:twoCellAnchor>
  <xdr:twoCellAnchor>
    <xdr:from>
      <xdr:col>5</xdr:col>
      <xdr:colOff>409575</xdr:colOff>
      <xdr:row>11</xdr:row>
      <xdr:rowOff>85725</xdr:rowOff>
    </xdr:from>
    <xdr:to>
      <xdr:col>6</xdr:col>
      <xdr:colOff>600074</xdr:colOff>
      <xdr:row>14</xdr:row>
      <xdr:rowOff>161925</xdr:rowOff>
    </xdr:to>
    <xdr:sp macro="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3457575" y="2097405"/>
          <a:ext cx="800099" cy="62484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PAYBACK</a:t>
          </a:r>
          <a:r>
            <a:rPr lang="pt-BR" sz="1100" baseline="0"/>
            <a:t> SIMPLES</a:t>
          </a:r>
          <a:endParaRPr lang="pt-BR" sz="1100"/>
        </a:p>
      </xdr:txBody>
    </xdr:sp>
    <xdr:clientData/>
  </xdr:twoCellAnchor>
  <xdr:twoCellAnchor>
    <xdr:from>
      <xdr:col>7</xdr:col>
      <xdr:colOff>266700</xdr:colOff>
      <xdr:row>11</xdr:row>
      <xdr:rowOff>85725</xdr:rowOff>
    </xdr:from>
    <xdr:to>
      <xdr:col>9</xdr:col>
      <xdr:colOff>57150</xdr:colOff>
      <xdr:row>14</xdr:row>
      <xdr:rowOff>161925</xdr:rowOff>
    </xdr:to>
    <xdr:sp macro="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533900" y="2097405"/>
          <a:ext cx="1009650" cy="62484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PRODUÇÃO</a:t>
          </a:r>
        </a:p>
      </xdr:txBody>
    </xdr:sp>
    <xdr:clientData/>
  </xdr:twoCellAnchor>
  <xdr:twoCellAnchor>
    <xdr:from>
      <xdr:col>9</xdr:col>
      <xdr:colOff>381000</xdr:colOff>
      <xdr:row>11</xdr:row>
      <xdr:rowOff>85725</xdr:rowOff>
    </xdr:from>
    <xdr:to>
      <xdr:col>11</xdr:col>
      <xdr:colOff>371475</xdr:colOff>
      <xdr:row>14</xdr:row>
      <xdr:rowOff>161925</xdr:rowOff>
    </xdr:to>
    <xdr:sp macro="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5867400" y="2097405"/>
          <a:ext cx="1209675" cy="62484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REDUÇÃO DE CUSTOS</a:t>
          </a:r>
        </a:p>
      </xdr:txBody>
    </xdr:sp>
    <xdr:clientData/>
  </xdr:twoCellAnchor>
  <xdr:twoCellAnchor>
    <xdr:from>
      <xdr:col>12</xdr:col>
      <xdr:colOff>28575</xdr:colOff>
      <xdr:row>11</xdr:row>
      <xdr:rowOff>85725</xdr:rowOff>
    </xdr:from>
    <xdr:to>
      <xdr:col>13</xdr:col>
      <xdr:colOff>419100</xdr:colOff>
      <xdr:row>14</xdr:row>
      <xdr:rowOff>161925</xdr:rowOff>
    </xdr:to>
    <xdr:sp macro="" textlink="">
      <xdr:nvSpPr>
        <xdr:cNvPr id="8" name="Retângulo de cantos arredondados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7343775" y="2097405"/>
          <a:ext cx="1000125" cy="62484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QUALIDADE</a:t>
          </a:r>
        </a:p>
      </xdr:txBody>
    </xdr:sp>
    <xdr:clientData/>
  </xdr:twoCellAnchor>
  <xdr:twoCellAnchor>
    <xdr:from>
      <xdr:col>4</xdr:col>
      <xdr:colOff>247650</xdr:colOff>
      <xdr:row>19</xdr:row>
      <xdr:rowOff>180975</xdr:rowOff>
    </xdr:from>
    <xdr:to>
      <xdr:col>6</xdr:col>
      <xdr:colOff>276225</xdr:colOff>
      <xdr:row>23</xdr:row>
      <xdr:rowOff>66675</xdr:rowOff>
    </xdr:to>
    <xdr:sp macro="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2686050" y="3655695"/>
          <a:ext cx="1247775" cy="61722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LAYOUT</a:t>
          </a:r>
          <a:r>
            <a:rPr lang="pt-BR" sz="1100" baseline="0"/>
            <a:t> A</a:t>
          </a:r>
          <a:endParaRPr lang="pt-BR" sz="1100"/>
        </a:p>
      </xdr:txBody>
    </xdr:sp>
    <xdr:clientData/>
  </xdr:twoCellAnchor>
  <xdr:twoCellAnchor>
    <xdr:from>
      <xdr:col>8</xdr:col>
      <xdr:colOff>133350</xdr:colOff>
      <xdr:row>19</xdr:row>
      <xdr:rowOff>180975</xdr:rowOff>
    </xdr:from>
    <xdr:to>
      <xdr:col>10</xdr:col>
      <xdr:colOff>161925</xdr:colOff>
      <xdr:row>23</xdr:row>
      <xdr:rowOff>66675</xdr:rowOff>
    </xdr:to>
    <xdr:sp macro="" textlink="">
      <xdr:nvSpPr>
        <xdr:cNvPr id="10" name="Retângulo de cantos arredondados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5010150" y="3655695"/>
          <a:ext cx="1247775" cy="61722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LAYOUT B</a:t>
          </a:r>
        </a:p>
      </xdr:txBody>
    </xdr:sp>
    <xdr:clientData/>
  </xdr:twoCellAnchor>
  <xdr:twoCellAnchor>
    <xdr:from>
      <xdr:col>2</xdr:col>
      <xdr:colOff>130968</xdr:colOff>
      <xdr:row>5</xdr:row>
      <xdr:rowOff>95251</xdr:rowOff>
    </xdr:from>
    <xdr:to>
      <xdr:col>7</xdr:col>
      <xdr:colOff>186928</xdr:colOff>
      <xdr:row>11</xdr:row>
      <xdr:rowOff>85725</xdr:rowOff>
    </xdr:to>
    <xdr:cxnSp macro="">
      <xdr:nvCxnSpPr>
        <xdr:cNvPr id="11" name="Conector de seta reta 11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CxnSpPr>
          <a:stCxn id="2" idx="2"/>
          <a:endCxn id="3" idx="0"/>
        </xdr:cNvCxnSpPr>
      </xdr:nvCxnSpPr>
      <xdr:spPr>
        <a:xfrm flipH="1">
          <a:off x="1345406" y="1047751"/>
          <a:ext cx="3092053" cy="113347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352426</xdr:colOff>
      <xdr:row>5</xdr:row>
      <xdr:rowOff>95251</xdr:rowOff>
    </xdr:from>
    <xdr:to>
      <xdr:col>7</xdr:col>
      <xdr:colOff>185737</xdr:colOff>
      <xdr:row>11</xdr:row>
      <xdr:rowOff>85725</xdr:rowOff>
    </xdr:to>
    <xdr:cxnSp macro="">
      <xdr:nvCxnSpPr>
        <xdr:cNvPr id="12" name="Conector de seta reta 14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CxnSpPr>
          <a:stCxn id="2" idx="2"/>
          <a:endCxn id="4" idx="0"/>
        </xdr:cNvCxnSpPr>
      </xdr:nvCxnSpPr>
      <xdr:spPr>
        <a:xfrm flipH="1">
          <a:off x="2790826" y="1009651"/>
          <a:ext cx="1662111" cy="108775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200025</xdr:colOff>
      <xdr:row>5</xdr:row>
      <xdr:rowOff>95251</xdr:rowOff>
    </xdr:from>
    <xdr:to>
      <xdr:col>7</xdr:col>
      <xdr:colOff>185737</xdr:colOff>
      <xdr:row>11</xdr:row>
      <xdr:rowOff>85725</xdr:rowOff>
    </xdr:to>
    <xdr:cxnSp macro="">
      <xdr:nvCxnSpPr>
        <xdr:cNvPr id="13" name="Conector de seta reta 17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CxnSpPr>
          <a:stCxn id="2" idx="2"/>
          <a:endCxn id="5" idx="0"/>
        </xdr:cNvCxnSpPr>
      </xdr:nvCxnSpPr>
      <xdr:spPr>
        <a:xfrm flipH="1">
          <a:off x="3857625" y="1009651"/>
          <a:ext cx="595312" cy="108775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185737</xdr:colOff>
      <xdr:row>5</xdr:row>
      <xdr:rowOff>95251</xdr:rowOff>
    </xdr:from>
    <xdr:to>
      <xdr:col>8</xdr:col>
      <xdr:colOff>161925</xdr:colOff>
      <xdr:row>11</xdr:row>
      <xdr:rowOff>85725</xdr:rowOff>
    </xdr:to>
    <xdr:cxnSp macro="">
      <xdr:nvCxnSpPr>
        <xdr:cNvPr id="14" name="Conector de seta reta 31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CxnSpPr>
          <a:stCxn id="2" idx="2"/>
          <a:endCxn id="6" idx="0"/>
        </xdr:cNvCxnSpPr>
      </xdr:nvCxnSpPr>
      <xdr:spPr>
        <a:xfrm>
          <a:off x="4452937" y="1009651"/>
          <a:ext cx="585788" cy="108775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185737</xdr:colOff>
      <xdr:row>5</xdr:row>
      <xdr:rowOff>95251</xdr:rowOff>
    </xdr:from>
    <xdr:to>
      <xdr:col>10</xdr:col>
      <xdr:colOff>376238</xdr:colOff>
      <xdr:row>11</xdr:row>
      <xdr:rowOff>85725</xdr:rowOff>
    </xdr:to>
    <xdr:cxnSp macro="">
      <xdr:nvCxnSpPr>
        <xdr:cNvPr id="15" name="Conector de seta reta 3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CxnSpPr>
          <a:stCxn id="2" idx="2"/>
          <a:endCxn id="7" idx="0"/>
        </xdr:cNvCxnSpPr>
      </xdr:nvCxnSpPr>
      <xdr:spPr>
        <a:xfrm>
          <a:off x="4452937" y="1009651"/>
          <a:ext cx="2019301" cy="108775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185737</xdr:colOff>
      <xdr:row>5</xdr:row>
      <xdr:rowOff>95251</xdr:rowOff>
    </xdr:from>
    <xdr:to>
      <xdr:col>12</xdr:col>
      <xdr:colOff>528638</xdr:colOff>
      <xdr:row>11</xdr:row>
      <xdr:rowOff>85725</xdr:rowOff>
    </xdr:to>
    <xdr:cxnSp macro="">
      <xdr:nvCxnSpPr>
        <xdr:cNvPr id="16" name="Conector de seta reta 37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CxnSpPr>
          <a:stCxn id="2" idx="2"/>
          <a:endCxn id="8" idx="0"/>
        </xdr:cNvCxnSpPr>
      </xdr:nvCxnSpPr>
      <xdr:spPr>
        <a:xfrm>
          <a:off x="4452937" y="1009651"/>
          <a:ext cx="3390901" cy="108775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14</xdr:row>
      <xdr:rowOff>161925</xdr:rowOff>
    </xdr:from>
    <xdr:to>
      <xdr:col>5</xdr:col>
      <xdr:colOff>261938</xdr:colOff>
      <xdr:row>19</xdr:row>
      <xdr:rowOff>180975</xdr:rowOff>
    </xdr:to>
    <xdr:cxnSp macro="">
      <xdr:nvCxnSpPr>
        <xdr:cNvPr id="17" name="Conector reto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3" idx="2"/>
          <a:endCxn id="9" idx="0"/>
        </xdr:cNvCxnSpPr>
      </xdr:nvCxnSpPr>
      <xdr:spPr>
        <a:xfrm>
          <a:off x="1345406" y="2828925"/>
          <a:ext cx="1952626" cy="971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14</xdr:row>
      <xdr:rowOff>161925</xdr:rowOff>
    </xdr:from>
    <xdr:to>
      <xdr:col>9</xdr:col>
      <xdr:colOff>147638</xdr:colOff>
      <xdr:row>19</xdr:row>
      <xdr:rowOff>180975</xdr:rowOff>
    </xdr:to>
    <xdr:cxnSp macro="">
      <xdr:nvCxnSpPr>
        <xdr:cNvPr id="18" name="Conector reto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CxnSpPr>
          <a:stCxn id="3" idx="2"/>
          <a:endCxn id="10" idx="0"/>
        </xdr:cNvCxnSpPr>
      </xdr:nvCxnSpPr>
      <xdr:spPr>
        <a:xfrm>
          <a:off x="1345406" y="2828925"/>
          <a:ext cx="4267201" cy="971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352426</xdr:colOff>
      <xdr:row>14</xdr:row>
      <xdr:rowOff>161925</xdr:rowOff>
    </xdr:from>
    <xdr:to>
      <xdr:col>5</xdr:col>
      <xdr:colOff>261938</xdr:colOff>
      <xdr:row>19</xdr:row>
      <xdr:rowOff>180975</xdr:rowOff>
    </xdr:to>
    <xdr:cxnSp macro="">
      <xdr:nvCxnSpPr>
        <xdr:cNvPr id="19" name="Conector reto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CxnSpPr>
          <a:stCxn id="4" idx="2"/>
          <a:endCxn id="9" idx="0"/>
        </xdr:cNvCxnSpPr>
      </xdr:nvCxnSpPr>
      <xdr:spPr>
        <a:xfrm>
          <a:off x="2790826" y="2722245"/>
          <a:ext cx="519112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352426</xdr:colOff>
      <xdr:row>14</xdr:row>
      <xdr:rowOff>161925</xdr:rowOff>
    </xdr:from>
    <xdr:to>
      <xdr:col>9</xdr:col>
      <xdr:colOff>147638</xdr:colOff>
      <xdr:row>19</xdr:row>
      <xdr:rowOff>180975</xdr:rowOff>
    </xdr:to>
    <xdr:cxnSp macro="">
      <xdr:nvCxnSpPr>
        <xdr:cNvPr id="20" name="Conector reto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CxnSpPr>
          <a:stCxn id="4" idx="2"/>
          <a:endCxn id="10" idx="0"/>
        </xdr:cNvCxnSpPr>
      </xdr:nvCxnSpPr>
      <xdr:spPr>
        <a:xfrm>
          <a:off x="2790826" y="2722245"/>
          <a:ext cx="2843212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261938</xdr:colOff>
      <xdr:row>14</xdr:row>
      <xdr:rowOff>161925</xdr:rowOff>
    </xdr:from>
    <xdr:to>
      <xdr:col>6</xdr:col>
      <xdr:colOff>200025</xdr:colOff>
      <xdr:row>19</xdr:row>
      <xdr:rowOff>180975</xdr:rowOff>
    </xdr:to>
    <xdr:cxnSp macro="">
      <xdr:nvCxnSpPr>
        <xdr:cNvPr id="21" name="Conector reto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CxnSpPr>
          <a:stCxn id="5" idx="2"/>
          <a:endCxn id="9" idx="0"/>
        </xdr:cNvCxnSpPr>
      </xdr:nvCxnSpPr>
      <xdr:spPr>
        <a:xfrm flipH="1">
          <a:off x="3309938" y="2722245"/>
          <a:ext cx="547687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200025</xdr:colOff>
      <xdr:row>14</xdr:row>
      <xdr:rowOff>161925</xdr:rowOff>
    </xdr:from>
    <xdr:to>
      <xdr:col>9</xdr:col>
      <xdr:colOff>147638</xdr:colOff>
      <xdr:row>19</xdr:row>
      <xdr:rowOff>180975</xdr:rowOff>
    </xdr:to>
    <xdr:cxnSp macro="">
      <xdr:nvCxnSpPr>
        <xdr:cNvPr id="22" name="Conector reto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CxnSpPr>
          <a:stCxn id="5" idx="2"/>
          <a:endCxn id="10" idx="0"/>
        </xdr:cNvCxnSpPr>
      </xdr:nvCxnSpPr>
      <xdr:spPr>
        <a:xfrm>
          <a:off x="3857625" y="2722245"/>
          <a:ext cx="1776413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261938</xdr:colOff>
      <xdr:row>14</xdr:row>
      <xdr:rowOff>161925</xdr:rowOff>
    </xdr:from>
    <xdr:to>
      <xdr:col>8</xdr:col>
      <xdr:colOff>161925</xdr:colOff>
      <xdr:row>19</xdr:row>
      <xdr:rowOff>180975</xdr:rowOff>
    </xdr:to>
    <xdr:cxnSp macro="">
      <xdr:nvCxnSpPr>
        <xdr:cNvPr id="23" name="Conector reto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CxnSpPr>
          <a:stCxn id="6" idx="2"/>
          <a:endCxn id="9" idx="0"/>
        </xdr:cNvCxnSpPr>
      </xdr:nvCxnSpPr>
      <xdr:spPr>
        <a:xfrm flipH="1">
          <a:off x="3309938" y="2722245"/>
          <a:ext cx="1728787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14</xdr:row>
      <xdr:rowOff>161925</xdr:rowOff>
    </xdr:from>
    <xdr:to>
      <xdr:col>9</xdr:col>
      <xdr:colOff>147638</xdr:colOff>
      <xdr:row>19</xdr:row>
      <xdr:rowOff>180975</xdr:rowOff>
    </xdr:to>
    <xdr:cxnSp macro="">
      <xdr:nvCxnSpPr>
        <xdr:cNvPr id="24" name="Conector reto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6" idx="2"/>
          <a:endCxn id="10" idx="0"/>
        </xdr:cNvCxnSpPr>
      </xdr:nvCxnSpPr>
      <xdr:spPr>
        <a:xfrm>
          <a:off x="5038725" y="2722245"/>
          <a:ext cx="595313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261938</xdr:colOff>
      <xdr:row>14</xdr:row>
      <xdr:rowOff>161925</xdr:rowOff>
    </xdr:from>
    <xdr:to>
      <xdr:col>10</xdr:col>
      <xdr:colOff>376238</xdr:colOff>
      <xdr:row>19</xdr:row>
      <xdr:rowOff>180975</xdr:rowOff>
    </xdr:to>
    <xdr:cxnSp macro="">
      <xdr:nvCxnSpPr>
        <xdr:cNvPr id="25" name="Conector reto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CxnSpPr>
          <a:stCxn id="7" idx="2"/>
          <a:endCxn id="9" idx="0"/>
        </xdr:cNvCxnSpPr>
      </xdr:nvCxnSpPr>
      <xdr:spPr>
        <a:xfrm flipH="1">
          <a:off x="3309938" y="2722245"/>
          <a:ext cx="3162300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147638</xdr:colOff>
      <xdr:row>14</xdr:row>
      <xdr:rowOff>161925</xdr:rowOff>
    </xdr:from>
    <xdr:to>
      <xdr:col>10</xdr:col>
      <xdr:colOff>376238</xdr:colOff>
      <xdr:row>19</xdr:row>
      <xdr:rowOff>180975</xdr:rowOff>
    </xdr:to>
    <xdr:cxnSp macro="">
      <xdr:nvCxnSpPr>
        <xdr:cNvPr id="26" name="Conector reto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CxnSpPr>
          <a:stCxn id="7" idx="2"/>
          <a:endCxn id="10" idx="0"/>
        </xdr:cNvCxnSpPr>
      </xdr:nvCxnSpPr>
      <xdr:spPr>
        <a:xfrm flipH="1">
          <a:off x="5634038" y="2722245"/>
          <a:ext cx="838200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261938</xdr:colOff>
      <xdr:row>14</xdr:row>
      <xdr:rowOff>161925</xdr:rowOff>
    </xdr:from>
    <xdr:to>
      <xdr:col>12</xdr:col>
      <xdr:colOff>528638</xdr:colOff>
      <xdr:row>19</xdr:row>
      <xdr:rowOff>180975</xdr:rowOff>
    </xdr:to>
    <xdr:cxnSp macro="">
      <xdr:nvCxnSpPr>
        <xdr:cNvPr id="27" name="Conector reto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CxnSpPr>
          <a:stCxn id="8" idx="2"/>
          <a:endCxn id="9" idx="0"/>
        </xdr:cNvCxnSpPr>
      </xdr:nvCxnSpPr>
      <xdr:spPr>
        <a:xfrm flipH="1">
          <a:off x="3309938" y="2722245"/>
          <a:ext cx="4533900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147638</xdr:colOff>
      <xdr:row>14</xdr:row>
      <xdr:rowOff>161925</xdr:rowOff>
    </xdr:from>
    <xdr:to>
      <xdr:col>12</xdr:col>
      <xdr:colOff>528638</xdr:colOff>
      <xdr:row>19</xdr:row>
      <xdr:rowOff>180975</xdr:rowOff>
    </xdr:to>
    <xdr:cxnSp macro="">
      <xdr:nvCxnSpPr>
        <xdr:cNvPr id="28" name="Conector reto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CxnSpPr>
          <a:stCxn id="8" idx="2"/>
          <a:endCxn id="10" idx="0"/>
        </xdr:cNvCxnSpPr>
      </xdr:nvCxnSpPr>
      <xdr:spPr>
        <a:xfrm flipH="1">
          <a:off x="5634038" y="2722245"/>
          <a:ext cx="2209800" cy="933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1</xdr:row>
      <xdr:rowOff>161925</xdr:rowOff>
    </xdr:from>
    <xdr:to>
      <xdr:col>3</xdr:col>
      <xdr:colOff>581025</xdr:colOff>
      <xdr:row>5</xdr:row>
      <xdr:rowOff>66675</xdr:rowOff>
    </xdr:to>
    <xdr:sp macro="" textlink="">
      <xdr:nvSpPr>
        <xdr:cNvPr id="29" name="Retângulo de cantos arredondados 2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664369" y="352425"/>
          <a:ext cx="1738312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n>
                <a:solidFill>
                  <a:schemeClr val="tx1"/>
                </a:solidFill>
              </a:ln>
              <a:latin typeface="Bauhaus 93" panose="04030905020B02020C02" pitchFamily="82" charset="0"/>
            </a:rPr>
            <a:t>INÍCIO</a:t>
          </a:r>
        </a:p>
      </xdr:txBody>
    </xdr:sp>
    <xdr:clientData/>
  </xdr:twoCellAnchor>
  <xdr:twoCellAnchor>
    <xdr:from>
      <xdr:col>10</xdr:col>
      <xdr:colOff>0</xdr:colOff>
      <xdr:row>1</xdr:row>
      <xdr:rowOff>161925</xdr:rowOff>
    </xdr:from>
    <xdr:to>
      <xdr:col>12</xdr:col>
      <xdr:colOff>527637</xdr:colOff>
      <xdr:row>5</xdr:row>
      <xdr:rowOff>69145</xdr:rowOff>
    </xdr:to>
    <xdr:sp macro="" textlink="">
      <xdr:nvSpPr>
        <xdr:cNvPr id="31" name="Retângulo de cantos arredondados 30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6072188" y="352425"/>
          <a:ext cx="1742074" cy="669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10</xdr:col>
      <xdr:colOff>228600</xdr:colOff>
      <xdr:row>2</xdr:row>
      <xdr:rowOff>142875</xdr:rowOff>
    </xdr:from>
    <xdr:to>
      <xdr:col>12</xdr:col>
      <xdr:colOff>255881</xdr:colOff>
      <xdr:row>4</xdr:row>
      <xdr:rowOff>173449</xdr:rowOff>
    </xdr:to>
    <xdr:sp macro="" textlink="">
      <xdr:nvSpPr>
        <xdr:cNvPr id="33" name="Seta para a direita 32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6324600" y="523875"/>
          <a:ext cx="1246481" cy="411574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15</xdr:col>
      <xdr:colOff>383169</xdr:colOff>
      <xdr:row>20</xdr:row>
      <xdr:rowOff>55905</xdr:rowOff>
    </xdr:from>
    <xdr:to>
      <xdr:col>21</xdr:col>
      <xdr:colOff>59886</xdr:colOff>
      <xdr:row>25</xdr:row>
      <xdr:rowOff>27215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59934" y="3865905"/>
          <a:ext cx="3307423" cy="92381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19</xdr:row>
      <xdr:rowOff>0</xdr:rowOff>
    </xdr:from>
    <xdr:to>
      <xdr:col>14</xdr:col>
      <xdr:colOff>555558</xdr:colOff>
      <xdr:row>25</xdr:row>
      <xdr:rowOff>27215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6529" y="3619500"/>
          <a:ext cx="1160676" cy="11702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176388</xdr:rowOff>
    </xdr:from>
    <xdr:to>
      <xdr:col>5</xdr:col>
      <xdr:colOff>523875</xdr:colOff>
      <xdr:row>4</xdr:row>
      <xdr:rowOff>90663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285875" y="176388"/>
          <a:ext cx="1738313" cy="6762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n>
                <a:solidFill>
                  <a:schemeClr val="tx1"/>
                </a:solidFill>
              </a:ln>
              <a:latin typeface="Bauhaus 93" panose="04030905020B02020C02" pitchFamily="82" charset="0"/>
            </a:rPr>
            <a:t>INÍCIO</a:t>
          </a:r>
        </a:p>
      </xdr:txBody>
    </xdr:sp>
    <xdr:clientData/>
  </xdr:twoCellAnchor>
  <xdr:twoCellAnchor>
    <xdr:from>
      <xdr:col>11</xdr:col>
      <xdr:colOff>23518</xdr:colOff>
      <xdr:row>0</xdr:row>
      <xdr:rowOff>176388</xdr:rowOff>
    </xdr:from>
    <xdr:to>
      <xdr:col>13</xdr:col>
      <xdr:colOff>547392</xdr:colOff>
      <xdr:row>4</xdr:row>
      <xdr:rowOff>93015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5452768" y="176388"/>
          <a:ext cx="1738312" cy="6786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11</xdr:col>
      <xdr:colOff>270464</xdr:colOff>
      <xdr:row>1</xdr:row>
      <xdr:rowOff>82314</xdr:rowOff>
    </xdr:from>
    <xdr:to>
      <xdr:col>13</xdr:col>
      <xdr:colOff>293982</xdr:colOff>
      <xdr:row>3</xdr:row>
      <xdr:rowOff>117592</xdr:rowOff>
    </xdr:to>
    <xdr:sp macro="" textlink="">
      <xdr:nvSpPr>
        <xdr:cNvPr id="5" name="Seta para a direita 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726760" y="270462"/>
          <a:ext cx="1246481" cy="411574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47037</xdr:colOff>
      <xdr:row>0</xdr:row>
      <xdr:rowOff>176388</xdr:rowOff>
    </xdr:from>
    <xdr:to>
      <xdr:col>9</xdr:col>
      <xdr:colOff>570911</xdr:colOff>
      <xdr:row>4</xdr:row>
      <xdr:rowOff>93015</xdr:rowOff>
    </xdr:to>
    <xdr:sp macro="" textlink="">
      <xdr:nvSpPr>
        <xdr:cNvPr id="8" name="Retângulo de cantos arredondados 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3404600" y="176388"/>
          <a:ext cx="1738311" cy="6786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7</xdr:col>
      <xdr:colOff>258702</xdr:colOff>
      <xdr:row>1</xdr:row>
      <xdr:rowOff>82314</xdr:rowOff>
    </xdr:from>
    <xdr:to>
      <xdr:col>9</xdr:col>
      <xdr:colOff>281339</xdr:colOff>
      <xdr:row>3</xdr:row>
      <xdr:rowOff>116418</xdr:rowOff>
    </xdr:to>
    <xdr:sp macro="" textlink="">
      <xdr:nvSpPr>
        <xdr:cNvPr id="9" name="Seta para a esquerda 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3633609" y="270462"/>
          <a:ext cx="1245600" cy="410400"/>
        </a:xfrm>
        <a:prstGeom prst="lef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179916</xdr:colOff>
      <xdr:row>0</xdr:row>
      <xdr:rowOff>74083</xdr:rowOff>
    </xdr:from>
    <xdr:to>
      <xdr:col>26</xdr:col>
      <xdr:colOff>465667</xdr:colOff>
      <xdr:row>4</xdr:row>
      <xdr:rowOff>63500</xdr:rowOff>
    </xdr:to>
    <xdr:sp macro="" textlink="">
      <xdr:nvSpPr>
        <xdr:cNvPr id="2" name="CaixaDeTexto 1"/>
        <xdr:cNvSpPr txBox="1"/>
      </xdr:nvSpPr>
      <xdr:spPr>
        <a:xfrm>
          <a:off x="7598833" y="74083"/>
          <a:ext cx="5958417" cy="7514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>
              <a:solidFill>
                <a:srgbClr val="FF0000"/>
              </a:solidFill>
            </a:rPr>
            <a:t>DIGITAR APENAS</a:t>
          </a:r>
          <a:r>
            <a:rPr lang="pt-BR" sz="2000" baseline="0">
              <a:solidFill>
                <a:srgbClr val="FF0000"/>
              </a:solidFill>
            </a:rPr>
            <a:t> NAS CÉLULAS PINTADAS DE VERDE</a:t>
          </a:r>
          <a:r>
            <a:rPr lang="pt-BR" sz="2000" baseline="0"/>
            <a:t>.</a:t>
          </a:r>
          <a:endParaRPr lang="pt-BR" sz="2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416720</xdr:colOff>
      <xdr:row>0</xdr:row>
      <xdr:rowOff>173831</xdr:rowOff>
    </xdr:from>
    <xdr:to>
      <xdr:col>6</xdr:col>
      <xdr:colOff>202407</xdr:colOff>
      <xdr:row>4</xdr:row>
      <xdr:rowOff>78581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2464595" y="173831"/>
          <a:ext cx="1714500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n>
                <a:solidFill>
                  <a:schemeClr val="tx1"/>
                </a:solidFill>
              </a:ln>
              <a:latin typeface="Bauhaus 93" panose="04030905020B02020C02" pitchFamily="82" charset="0"/>
            </a:rPr>
            <a:t>INÍCIO</a:t>
          </a:r>
        </a:p>
      </xdr:txBody>
    </xdr:sp>
    <xdr:clientData/>
  </xdr:twoCellAnchor>
  <xdr:twoCellAnchor>
    <xdr:from>
      <xdr:col>6</xdr:col>
      <xdr:colOff>783431</xdr:colOff>
      <xdr:row>0</xdr:row>
      <xdr:rowOff>150018</xdr:rowOff>
    </xdr:from>
    <xdr:to>
      <xdr:col>8</xdr:col>
      <xdr:colOff>691944</xdr:colOff>
      <xdr:row>4</xdr:row>
      <xdr:rowOff>57238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760119" y="150018"/>
          <a:ext cx="1742075" cy="669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7</xdr:col>
      <xdr:colOff>116679</xdr:colOff>
      <xdr:row>1</xdr:row>
      <xdr:rowOff>97632</xdr:rowOff>
    </xdr:from>
    <xdr:to>
      <xdr:col>8</xdr:col>
      <xdr:colOff>443117</xdr:colOff>
      <xdr:row>3</xdr:row>
      <xdr:rowOff>127032</xdr:rowOff>
    </xdr:to>
    <xdr:sp macro="" textlink="">
      <xdr:nvSpPr>
        <xdr:cNvPr id="5" name="Seta para a esquerda 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5010148" y="288132"/>
          <a:ext cx="1243219" cy="410400"/>
        </a:xfrm>
        <a:prstGeom prst="lef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864395</xdr:colOff>
      <xdr:row>0</xdr:row>
      <xdr:rowOff>138112</xdr:rowOff>
    </xdr:from>
    <xdr:to>
      <xdr:col>10</xdr:col>
      <xdr:colOff>791956</xdr:colOff>
      <xdr:row>4</xdr:row>
      <xdr:rowOff>45332</xdr:rowOff>
    </xdr:to>
    <xdr:sp macro="" textlink="">
      <xdr:nvSpPr>
        <xdr:cNvPr id="6" name="Retângulo de cantos arredondados 5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6674645" y="138112"/>
          <a:ext cx="1761124" cy="669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9</xdr:col>
      <xdr:colOff>278606</xdr:colOff>
      <xdr:row>1</xdr:row>
      <xdr:rowOff>85725</xdr:rowOff>
    </xdr:from>
    <xdr:to>
      <xdr:col>10</xdr:col>
      <xdr:colOff>600224</xdr:colOff>
      <xdr:row>3</xdr:row>
      <xdr:rowOff>122325</xdr:rowOff>
    </xdr:to>
    <xdr:sp macro="" textlink="">
      <xdr:nvSpPr>
        <xdr:cNvPr id="8" name="Seta para a direita 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7005637" y="276225"/>
          <a:ext cx="1238400" cy="417600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83343</xdr:colOff>
      <xdr:row>16</xdr:row>
      <xdr:rowOff>178594</xdr:rowOff>
    </xdr:from>
    <xdr:to>
      <xdr:col>20</xdr:col>
      <xdr:colOff>154781</xdr:colOff>
      <xdr:row>23</xdr:row>
      <xdr:rowOff>217716</xdr:rowOff>
    </xdr:to>
    <xdr:sp macro="" textlink="">
      <xdr:nvSpPr>
        <xdr:cNvPr id="3" name="CaixaDeTexto 2"/>
        <xdr:cNvSpPr txBox="1"/>
      </xdr:nvSpPr>
      <xdr:spPr>
        <a:xfrm>
          <a:off x="5934414" y="3349058"/>
          <a:ext cx="7909153" cy="13726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>
              <a:solidFill>
                <a:srgbClr val="FF0000"/>
              </a:solidFill>
            </a:rPr>
            <a:t>DIGITAR</a:t>
          </a:r>
          <a:r>
            <a:rPr lang="pt-BR" sz="2000" baseline="0">
              <a:solidFill>
                <a:srgbClr val="FF0000"/>
              </a:solidFill>
            </a:rPr>
            <a:t> APENAS EM:</a:t>
          </a:r>
        </a:p>
        <a:p>
          <a:r>
            <a:rPr lang="pt-BR" sz="2000" baseline="0">
              <a:solidFill>
                <a:srgbClr val="FF0000"/>
              </a:solidFill>
            </a:rPr>
            <a:t>CÉLULAS VERDES DA TABELA: </a:t>
          </a:r>
          <a:r>
            <a:rPr lang="pt-BR" sz="2000" baseline="0">
              <a:solidFill>
                <a:sysClr val="windowText" lastClr="000000"/>
              </a:solidFill>
            </a:rPr>
            <a:t>ANÁLISE GERAL DAS AVALIAÇÕES</a:t>
          </a:r>
        </a:p>
        <a:p>
          <a:r>
            <a:rPr lang="pt-BR" sz="2000" baseline="0">
              <a:solidFill>
                <a:srgbClr val="FF0000"/>
              </a:solidFill>
            </a:rPr>
            <a:t>CÉLULA VERDE DA TABELA: </a:t>
          </a:r>
          <a:r>
            <a:rPr lang="pt-BR" sz="2000" baseline="0">
              <a:solidFill>
                <a:sysClr val="windowText" lastClr="000000"/>
              </a:solidFill>
            </a:rPr>
            <a:t>MATRIZ</a:t>
          </a:r>
          <a:r>
            <a:rPr lang="pt-BR" sz="2000" baseline="0">
              <a:solidFill>
                <a:srgbClr val="FF0000"/>
              </a:solidFill>
            </a:rPr>
            <a:t> - EX: 2X2, 3X3, 4X4, 5X5, 6X6, 7X7, ETC.</a:t>
          </a:r>
          <a:endParaRPr lang="pt-BR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0</xdr:row>
      <xdr:rowOff>41413</xdr:rowOff>
    </xdr:from>
    <xdr:to>
      <xdr:col>2</xdr:col>
      <xdr:colOff>1304925</xdr:colOff>
      <xdr:row>3</xdr:row>
      <xdr:rowOff>136663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238125" y="41413"/>
          <a:ext cx="1745456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n>
                <a:solidFill>
                  <a:schemeClr val="tx1"/>
                </a:solidFill>
              </a:ln>
              <a:latin typeface="Bauhaus 93" panose="04030905020B02020C02" pitchFamily="82" charset="0"/>
            </a:rPr>
            <a:t>INÍCIO</a:t>
          </a:r>
        </a:p>
      </xdr:txBody>
    </xdr:sp>
    <xdr:clientData/>
  </xdr:twoCellAnchor>
  <xdr:twoCellAnchor>
    <xdr:from>
      <xdr:col>2</xdr:col>
      <xdr:colOff>1504674</xdr:colOff>
      <xdr:row>0</xdr:row>
      <xdr:rowOff>41413</xdr:rowOff>
    </xdr:from>
    <xdr:to>
      <xdr:col>2</xdr:col>
      <xdr:colOff>3251511</xdr:colOff>
      <xdr:row>3</xdr:row>
      <xdr:rowOff>130850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0" y="41413"/>
          <a:ext cx="1746837" cy="6609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2</xdr:col>
      <xdr:colOff>3409674</xdr:colOff>
      <xdr:row>0</xdr:row>
      <xdr:rowOff>41413</xdr:rowOff>
    </xdr:from>
    <xdr:to>
      <xdr:col>3</xdr:col>
      <xdr:colOff>711511</xdr:colOff>
      <xdr:row>3</xdr:row>
      <xdr:rowOff>130850</xdr:rowOff>
    </xdr:to>
    <xdr:sp macro="" textlink="">
      <xdr:nvSpPr>
        <xdr:cNvPr id="4" name="Retângulo de cantos arredondados 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088330" y="41413"/>
          <a:ext cx="1754775" cy="6609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2</xdr:col>
      <xdr:colOff>1711739</xdr:colOff>
      <xdr:row>0</xdr:row>
      <xdr:rowOff>179457</xdr:rowOff>
    </xdr:from>
    <xdr:to>
      <xdr:col>2</xdr:col>
      <xdr:colOff>2957339</xdr:colOff>
      <xdr:row>3</xdr:row>
      <xdr:rowOff>12835</xdr:rowOff>
    </xdr:to>
    <xdr:sp macro="" textlink="">
      <xdr:nvSpPr>
        <xdr:cNvPr id="5" name="Seta para a esquerda 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2390395" y="179457"/>
          <a:ext cx="1245600" cy="404878"/>
        </a:xfrm>
        <a:prstGeom prst="lef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3685761</xdr:colOff>
      <xdr:row>0</xdr:row>
      <xdr:rowOff>179457</xdr:rowOff>
    </xdr:from>
    <xdr:to>
      <xdr:col>3</xdr:col>
      <xdr:colOff>487242</xdr:colOff>
      <xdr:row>3</xdr:row>
      <xdr:rowOff>11248</xdr:rowOff>
    </xdr:to>
    <xdr:sp macro="" textlink="">
      <xdr:nvSpPr>
        <xdr:cNvPr id="6" name="Seta para a direita 5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4364417" y="179457"/>
          <a:ext cx="1254419" cy="403291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123825</xdr:rowOff>
    </xdr:from>
    <xdr:to>
      <xdr:col>3</xdr:col>
      <xdr:colOff>228600</xdr:colOff>
      <xdr:row>4</xdr:row>
      <xdr:rowOff>28575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95250" y="123825"/>
          <a:ext cx="1752600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n>
                <a:solidFill>
                  <a:schemeClr val="tx1"/>
                </a:solidFill>
              </a:ln>
              <a:latin typeface="Bauhaus 93" panose="04030905020B02020C02" pitchFamily="82" charset="0"/>
            </a:rPr>
            <a:t>INÍCIO</a:t>
          </a:r>
        </a:p>
      </xdr:txBody>
    </xdr:sp>
    <xdr:clientData/>
  </xdr:twoCellAnchor>
  <xdr:twoCellAnchor>
    <xdr:from>
      <xdr:col>9</xdr:col>
      <xdr:colOff>897255</xdr:colOff>
      <xdr:row>0</xdr:row>
      <xdr:rowOff>38100</xdr:rowOff>
    </xdr:from>
    <xdr:to>
      <xdr:col>13</xdr:col>
      <xdr:colOff>9525</xdr:colOff>
      <xdr:row>5</xdr:row>
      <xdr:rowOff>38100</xdr:rowOff>
    </xdr:to>
    <xdr:sp macro="" textlink="">
      <xdr:nvSpPr>
        <xdr:cNvPr id="4" name="CaixaDeTexto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6707505" y="38100"/>
          <a:ext cx="453199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 tabela abaixo indica as quantidades de produção durante o</a:t>
          </a:r>
          <a:r>
            <a:rPr lang="pt-BR" sz="1100" baseline="0"/>
            <a:t> recolhimento de dados com duração de 1 mês</a:t>
          </a:r>
          <a:endParaRPr lang="pt-BR" sz="1100"/>
        </a:p>
      </xdr:txBody>
    </xdr:sp>
    <xdr:clientData/>
  </xdr:twoCellAnchor>
  <xdr:twoCellAnchor>
    <xdr:from>
      <xdr:col>3</xdr:col>
      <xdr:colOff>457200</xdr:colOff>
      <xdr:row>0</xdr:row>
      <xdr:rowOff>123825</xdr:rowOff>
    </xdr:from>
    <xdr:to>
      <xdr:col>7</xdr:col>
      <xdr:colOff>165687</xdr:colOff>
      <xdr:row>4</xdr:row>
      <xdr:rowOff>31045</xdr:rowOff>
    </xdr:to>
    <xdr:sp macro="" textlink="">
      <xdr:nvSpPr>
        <xdr:cNvPr id="9" name="Retângulo de cantos arredondados 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2076450" y="123825"/>
          <a:ext cx="1744456" cy="669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7</xdr:col>
      <xdr:colOff>371475</xdr:colOff>
      <xdr:row>0</xdr:row>
      <xdr:rowOff>123825</xdr:rowOff>
    </xdr:from>
    <xdr:to>
      <xdr:col>8</xdr:col>
      <xdr:colOff>1118187</xdr:colOff>
      <xdr:row>4</xdr:row>
      <xdr:rowOff>31045</xdr:rowOff>
    </xdr:to>
    <xdr:sp macro="" textlink="">
      <xdr:nvSpPr>
        <xdr:cNvPr id="10" name="Retângulo de cantos arredondados 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4026694" y="123825"/>
          <a:ext cx="1746837" cy="669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4</xdr:col>
      <xdr:colOff>38100</xdr:colOff>
      <xdr:row>1</xdr:row>
      <xdr:rowOff>95250</xdr:rowOff>
    </xdr:from>
    <xdr:to>
      <xdr:col>6</xdr:col>
      <xdr:colOff>255000</xdr:colOff>
      <xdr:row>3</xdr:row>
      <xdr:rowOff>124650</xdr:rowOff>
    </xdr:to>
    <xdr:sp macro="" textlink="">
      <xdr:nvSpPr>
        <xdr:cNvPr id="11" name="Seta para a esquerda 10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2288381" y="285750"/>
          <a:ext cx="1240838" cy="410400"/>
        </a:xfrm>
        <a:prstGeom prst="lef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600075</xdr:colOff>
      <xdr:row>1</xdr:row>
      <xdr:rowOff>95250</xdr:rowOff>
    </xdr:from>
    <xdr:to>
      <xdr:col>8</xdr:col>
      <xdr:colOff>846431</xdr:colOff>
      <xdr:row>3</xdr:row>
      <xdr:rowOff>125824</xdr:rowOff>
    </xdr:to>
    <xdr:sp macro="" textlink="">
      <xdr:nvSpPr>
        <xdr:cNvPr id="12" name="Seta para a direita 1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4255294" y="285750"/>
          <a:ext cx="1246481" cy="411574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21769</xdr:colOff>
      <xdr:row>29</xdr:row>
      <xdr:rowOff>146955</xdr:rowOff>
    </xdr:from>
    <xdr:to>
      <xdr:col>53</xdr:col>
      <xdr:colOff>293914</xdr:colOff>
      <xdr:row>64</xdr:row>
      <xdr:rowOff>21772</xdr:rowOff>
    </xdr:to>
    <xdr:graphicFrame macro="">
      <xdr:nvGraphicFramePr>
        <xdr:cNvPr id="5" name="Gráfico 4">
          <a:extLst>
            <a:ext uri="{FF2B5EF4-FFF2-40B4-BE49-F238E27FC236}">
              <a16:creationId xmlns="" xmlns:a16="http://schemas.microsoft.com/office/drawing/2014/main" id="{2560CB1B-93EE-4194-93BF-7F17DBAD6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523875</xdr:colOff>
      <xdr:row>5</xdr:row>
      <xdr:rowOff>95250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773906" y="381000"/>
          <a:ext cx="1738313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n>
                <a:solidFill>
                  <a:schemeClr val="tx1"/>
                </a:solidFill>
              </a:ln>
              <a:latin typeface="Bauhaus 93" panose="04030905020B02020C02" pitchFamily="82" charset="0"/>
            </a:rPr>
            <a:t>INÍCIO</a:t>
          </a:r>
        </a:p>
      </xdr:txBody>
    </xdr:sp>
    <xdr:clientData/>
  </xdr:twoCellAnchor>
  <xdr:twoCellAnchor>
    <xdr:from>
      <xdr:col>10</xdr:col>
      <xdr:colOff>2139</xdr:colOff>
      <xdr:row>0</xdr:row>
      <xdr:rowOff>147692</xdr:rowOff>
    </xdr:from>
    <xdr:to>
      <xdr:col>19</xdr:col>
      <xdr:colOff>239730</xdr:colOff>
      <xdr:row>5</xdr:row>
      <xdr:rowOff>117726</xdr:rowOff>
    </xdr:to>
    <xdr:sp macro="" textlink="">
      <xdr:nvSpPr>
        <xdr:cNvPr id="3" name="CaixaDeTexto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172645" y="147692"/>
          <a:ext cx="6541214" cy="9332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 tabela abaixo indica os pedidos de</a:t>
          </a:r>
          <a:r>
            <a:rPr lang="pt-BR" sz="1100" baseline="0"/>
            <a:t> dezembro/2017 à  janeiro/2018 que que tinham acabamento superficial epóxi. Na mesma é possível os conjuntos de fixadores pintados (porca+parafuso), a compra, venda e a margem de contribuição unitária e total para cada pedido.</a:t>
          </a:r>
          <a:endParaRPr lang="pt-BR" sz="1100"/>
        </a:p>
      </xdr:txBody>
    </xdr:sp>
    <xdr:clientData/>
  </xdr:twoCellAnchor>
  <xdr:twoCellAnchor>
    <xdr:from>
      <xdr:col>3</xdr:col>
      <xdr:colOff>759860</xdr:colOff>
      <xdr:row>2</xdr:row>
      <xdr:rowOff>0</xdr:rowOff>
    </xdr:from>
    <xdr:to>
      <xdr:col>5</xdr:col>
      <xdr:colOff>698017</xdr:colOff>
      <xdr:row>5</xdr:row>
      <xdr:rowOff>91299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2748204" y="381000"/>
          <a:ext cx="1747907" cy="6627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6</xdr:col>
      <xdr:colOff>246152</xdr:colOff>
      <xdr:row>2</xdr:row>
      <xdr:rowOff>0</xdr:rowOff>
    </xdr:from>
    <xdr:to>
      <xdr:col>9</xdr:col>
      <xdr:colOff>451865</xdr:colOff>
      <xdr:row>5</xdr:row>
      <xdr:rowOff>91299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4841965" y="381000"/>
          <a:ext cx="1753525" cy="6627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3</xdr:col>
      <xdr:colOff>973905</xdr:colOff>
      <xdr:row>2</xdr:row>
      <xdr:rowOff>171235</xdr:rowOff>
    </xdr:from>
    <xdr:to>
      <xdr:col>5</xdr:col>
      <xdr:colOff>410825</xdr:colOff>
      <xdr:row>5</xdr:row>
      <xdr:rowOff>3714</xdr:rowOff>
    </xdr:to>
    <xdr:sp macro="" textlink="">
      <xdr:nvSpPr>
        <xdr:cNvPr id="7" name="Seta para a esquerda 6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2962249" y="552235"/>
          <a:ext cx="1246670" cy="403979"/>
        </a:xfrm>
        <a:prstGeom prst="lef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192640</xdr:colOff>
      <xdr:row>2</xdr:row>
      <xdr:rowOff>171235</xdr:rowOff>
    </xdr:from>
    <xdr:to>
      <xdr:col>9</xdr:col>
      <xdr:colOff>251171</xdr:colOff>
      <xdr:row>5</xdr:row>
      <xdr:rowOff>7028</xdr:rowOff>
    </xdr:to>
    <xdr:sp macro="" textlink="">
      <xdr:nvSpPr>
        <xdr:cNvPr id="8" name="Seta para a direita 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5145640" y="552235"/>
          <a:ext cx="1249156" cy="407293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278423</xdr:colOff>
      <xdr:row>16</xdr:row>
      <xdr:rowOff>65943</xdr:rowOff>
    </xdr:from>
    <xdr:to>
      <xdr:col>13</xdr:col>
      <xdr:colOff>467457</xdr:colOff>
      <xdr:row>16</xdr:row>
      <xdr:rowOff>68142</xdr:rowOff>
    </xdr:to>
    <xdr:cxnSp macro="">
      <xdr:nvCxnSpPr>
        <xdr:cNvPr id="2" name="Conector reto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CxnSpPr/>
      </xdr:nvCxnSpPr>
      <xdr:spPr>
        <a:xfrm>
          <a:off x="4538003" y="2146203"/>
          <a:ext cx="5187754" cy="2199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90922</xdr:colOff>
      <xdr:row>13</xdr:row>
      <xdr:rowOff>142876</xdr:rowOff>
    </xdr:from>
    <xdr:to>
      <xdr:col>5</xdr:col>
      <xdr:colOff>285750</xdr:colOff>
      <xdr:row>16</xdr:row>
      <xdr:rowOff>58616</xdr:rowOff>
    </xdr:to>
    <xdr:cxnSp macro="">
      <xdr:nvCxnSpPr>
        <xdr:cNvPr id="3" name="Conector reto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CxnSpPr/>
      </xdr:nvCxnSpPr>
      <xdr:spPr>
        <a:xfrm flipH="1" flipV="1">
          <a:off x="4350502" y="1659256"/>
          <a:ext cx="194828" cy="47962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139765</xdr:colOff>
      <xdr:row>13</xdr:row>
      <xdr:rowOff>126193</xdr:rowOff>
    </xdr:from>
    <xdr:to>
      <xdr:col>5</xdr:col>
      <xdr:colOff>98535</xdr:colOff>
      <xdr:row>13</xdr:row>
      <xdr:rowOff>137948</xdr:rowOff>
    </xdr:to>
    <xdr:cxnSp macro="">
      <xdr:nvCxnSpPr>
        <xdr:cNvPr id="4" name="Conector reto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CxnSpPr>
          <a:endCxn id="5" idx="2"/>
        </xdr:cNvCxnSpPr>
      </xdr:nvCxnSpPr>
      <xdr:spPr>
        <a:xfrm flipH="1" flipV="1">
          <a:off x="3774505" y="1642573"/>
          <a:ext cx="583610" cy="1175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9293</xdr:colOff>
      <xdr:row>11</xdr:row>
      <xdr:rowOff>157976</xdr:rowOff>
    </xdr:from>
    <xdr:to>
      <xdr:col>4</xdr:col>
      <xdr:colOff>330679</xdr:colOff>
      <xdr:row>13</xdr:row>
      <xdr:rowOff>129396</xdr:rowOff>
    </xdr:to>
    <xdr:sp macro="" textlink="">
      <xdr:nvSpPr>
        <xdr:cNvPr id="5" name="Arco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 flipH="1">
          <a:off x="3644033" y="1293356"/>
          <a:ext cx="321386" cy="352420"/>
        </a:xfrm>
        <a:prstGeom prst="arc">
          <a:avLst>
            <a:gd name="adj1" fmla="val 16357909"/>
            <a:gd name="adj2" fmla="val 4816347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468923</xdr:colOff>
      <xdr:row>13</xdr:row>
      <xdr:rowOff>115020</xdr:rowOff>
    </xdr:from>
    <xdr:to>
      <xdr:col>14</xdr:col>
      <xdr:colOff>467264</xdr:colOff>
      <xdr:row>16</xdr:row>
      <xdr:rowOff>73270</xdr:rowOff>
    </xdr:to>
    <xdr:cxnSp macro="">
      <xdr:nvCxnSpPr>
        <xdr:cNvPr id="6" name="Conector reto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CxnSpPr/>
      </xdr:nvCxnSpPr>
      <xdr:spPr>
        <a:xfrm flipV="1">
          <a:off x="9727223" y="1631400"/>
          <a:ext cx="623181" cy="52213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454602</xdr:colOff>
      <xdr:row>13</xdr:row>
      <xdr:rowOff>112568</xdr:rowOff>
    </xdr:from>
    <xdr:to>
      <xdr:col>16</xdr:col>
      <xdr:colOff>0</xdr:colOff>
      <xdr:row>13</xdr:row>
      <xdr:rowOff>125186</xdr:rowOff>
    </xdr:to>
    <xdr:cxnSp macro="">
      <xdr:nvCxnSpPr>
        <xdr:cNvPr id="7" name="Conector reto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CxnSpPr/>
      </xdr:nvCxnSpPr>
      <xdr:spPr>
        <a:xfrm flipH="1" flipV="1">
          <a:off x="10337742" y="1628948"/>
          <a:ext cx="795078" cy="12618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471920</xdr:colOff>
      <xdr:row>13</xdr:row>
      <xdr:rowOff>17318</xdr:rowOff>
    </xdr:from>
    <xdr:to>
      <xdr:col>16</xdr:col>
      <xdr:colOff>5444</xdr:colOff>
      <xdr:row>13</xdr:row>
      <xdr:rowOff>32658</xdr:rowOff>
    </xdr:to>
    <xdr:cxnSp macro="">
      <xdr:nvCxnSpPr>
        <xdr:cNvPr id="8" name="Conector reto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CxnSpPr/>
      </xdr:nvCxnSpPr>
      <xdr:spPr>
        <a:xfrm flipH="1" flipV="1">
          <a:off x="10355060" y="1533698"/>
          <a:ext cx="783204" cy="1534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269168</xdr:colOff>
      <xdr:row>16</xdr:row>
      <xdr:rowOff>8483</xdr:rowOff>
    </xdr:from>
    <xdr:to>
      <xdr:col>8</xdr:col>
      <xdr:colOff>42033</xdr:colOff>
      <xdr:row>16</xdr:row>
      <xdr:rowOff>123786</xdr:rowOff>
    </xdr:to>
    <xdr:sp macro="" textlink="">
      <xdr:nvSpPr>
        <xdr:cNvPr id="9" name="Seta para a direita 39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153588" y="2088743"/>
          <a:ext cx="1022545" cy="115303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cap="none" spc="100">
            <a:ln w="18000">
              <a:solidFill>
                <a:schemeClr val="accent1">
                  <a:satMod val="200000"/>
                  <a:tint val="72000"/>
                </a:schemeClr>
              </a:solidFill>
              <a:prstDash val="solid"/>
            </a:ln>
            <a:solidFill>
              <a:schemeClr val="accent1">
                <a:satMod val="280000"/>
                <a:tint val="100000"/>
                <a:alpha val="5700"/>
              </a:schemeClr>
            </a:solidFill>
            <a:effectLst>
              <a:outerShdw blurRad="25000" dist="20000" dir="16020000" algn="tl">
                <a:schemeClr val="accent1">
                  <a:satMod val="200000"/>
                  <a:shade val="1000"/>
                  <a:alpha val="6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108823</xdr:colOff>
      <xdr:row>16</xdr:row>
      <xdr:rowOff>4166</xdr:rowOff>
    </xdr:from>
    <xdr:to>
      <xdr:col>11</xdr:col>
      <xdr:colOff>489823</xdr:colOff>
      <xdr:row>16</xdr:row>
      <xdr:rowOff>119469</xdr:rowOff>
    </xdr:to>
    <xdr:sp macro="" textlink="">
      <xdr:nvSpPr>
        <xdr:cNvPr id="10" name="Seta para a direita 40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7492603" y="2084426"/>
          <a:ext cx="1005840" cy="115303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478878</xdr:colOff>
      <xdr:row>25</xdr:row>
      <xdr:rowOff>38100</xdr:rowOff>
    </xdr:from>
    <xdr:to>
      <xdr:col>17</xdr:col>
      <xdr:colOff>0</xdr:colOff>
      <xdr:row>25</xdr:row>
      <xdr:rowOff>50909</xdr:rowOff>
    </xdr:to>
    <xdr:cxnSp macro="">
      <xdr:nvCxnSpPr>
        <xdr:cNvPr id="11" name="Conector reto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CxnSpPr/>
      </xdr:nvCxnSpPr>
      <xdr:spPr>
        <a:xfrm flipV="1">
          <a:off x="4113618" y="3810000"/>
          <a:ext cx="7773582" cy="128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507191</xdr:colOff>
      <xdr:row>14</xdr:row>
      <xdr:rowOff>58533</xdr:rowOff>
    </xdr:from>
    <xdr:to>
      <xdr:col>20</xdr:col>
      <xdr:colOff>247818</xdr:colOff>
      <xdr:row>25</xdr:row>
      <xdr:rowOff>29959</xdr:rowOff>
    </xdr:to>
    <xdr:sp macro="" textlink="">
      <xdr:nvSpPr>
        <xdr:cNvPr id="12" name="Arco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11015171" y="1765413"/>
          <a:ext cx="3680167" cy="2036446"/>
        </a:xfrm>
        <a:prstGeom prst="arc">
          <a:avLst>
            <a:gd name="adj1" fmla="val 16214868"/>
            <a:gd name="adj2" fmla="val 2298308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207323</xdr:colOff>
      <xdr:row>14</xdr:row>
      <xdr:rowOff>43106</xdr:rowOff>
    </xdr:from>
    <xdr:to>
      <xdr:col>18</xdr:col>
      <xdr:colOff>371799</xdr:colOff>
      <xdr:row>14</xdr:row>
      <xdr:rowOff>55529</xdr:rowOff>
    </xdr:to>
    <xdr:cxnSp macro="">
      <xdr:nvCxnSpPr>
        <xdr:cNvPr id="13" name="Conector reto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CxnSpPr/>
      </xdr:nvCxnSpPr>
      <xdr:spPr>
        <a:xfrm rot="10800000">
          <a:off x="1457003" y="1749986"/>
          <a:ext cx="11426836" cy="1242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468923</xdr:colOff>
      <xdr:row>7</xdr:row>
      <xdr:rowOff>109904</xdr:rowOff>
    </xdr:from>
    <xdr:to>
      <xdr:col>14</xdr:col>
      <xdr:colOff>480583</xdr:colOff>
      <xdr:row>13</xdr:row>
      <xdr:rowOff>17320</xdr:rowOff>
    </xdr:to>
    <xdr:cxnSp macro="">
      <xdr:nvCxnSpPr>
        <xdr:cNvPr id="14" name="Conector reto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CxnSpPr/>
      </xdr:nvCxnSpPr>
      <xdr:spPr>
        <a:xfrm flipH="1" flipV="1">
          <a:off x="10352063" y="490904"/>
          <a:ext cx="11660" cy="104279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197827</xdr:colOff>
      <xdr:row>7</xdr:row>
      <xdr:rowOff>109904</xdr:rowOff>
    </xdr:from>
    <xdr:to>
      <xdr:col>6</xdr:col>
      <xdr:colOff>197828</xdr:colOff>
      <xdr:row>11</xdr:row>
      <xdr:rowOff>124557</xdr:rowOff>
    </xdr:to>
    <xdr:cxnSp macro="">
      <xdr:nvCxnSpPr>
        <xdr:cNvPr id="15" name="Conector reto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CxnSpPr/>
      </xdr:nvCxnSpPr>
      <xdr:spPr>
        <a:xfrm flipV="1">
          <a:off x="5082247" y="490904"/>
          <a:ext cx="1" cy="76903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161729</xdr:colOff>
      <xdr:row>11</xdr:row>
      <xdr:rowOff>158214</xdr:rowOff>
    </xdr:from>
    <xdr:to>
      <xdr:col>5</xdr:col>
      <xdr:colOff>402981</xdr:colOff>
      <xdr:row>11</xdr:row>
      <xdr:rowOff>168519</xdr:rowOff>
    </xdr:to>
    <xdr:cxnSp macro="">
      <xdr:nvCxnSpPr>
        <xdr:cNvPr id="16" name="Conector reto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CxnSpPr>
          <a:endCxn id="5" idx="0"/>
        </xdr:cNvCxnSpPr>
      </xdr:nvCxnSpPr>
      <xdr:spPr>
        <a:xfrm flipH="1" flipV="1">
          <a:off x="3796469" y="1293594"/>
          <a:ext cx="866092" cy="1030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49695</xdr:colOff>
      <xdr:row>14</xdr:row>
      <xdr:rowOff>33130</xdr:rowOff>
    </xdr:from>
    <xdr:to>
      <xdr:col>9</xdr:col>
      <xdr:colOff>604630</xdr:colOff>
      <xdr:row>14</xdr:row>
      <xdr:rowOff>145111</xdr:rowOff>
    </xdr:to>
    <xdr:sp macro="" textlink="">
      <xdr:nvSpPr>
        <xdr:cNvPr id="17" name="Seta para a esquerda 45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6183795" y="1740010"/>
          <a:ext cx="1179775" cy="111981"/>
        </a:xfrm>
        <a:prstGeom prst="lef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269328</xdr:colOff>
      <xdr:row>24</xdr:row>
      <xdr:rowOff>180975</xdr:rowOff>
    </xdr:from>
    <xdr:to>
      <xdr:col>9</xdr:col>
      <xdr:colOff>40728</xdr:colOff>
      <xdr:row>25</xdr:row>
      <xdr:rowOff>105778</xdr:rowOff>
    </xdr:to>
    <xdr:sp macro="" textlink="">
      <xdr:nvSpPr>
        <xdr:cNvPr id="18" name="Seta para a direita 62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5778588" y="3769995"/>
          <a:ext cx="1021080" cy="107683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cap="none" spc="100">
            <a:ln w="18000">
              <a:solidFill>
                <a:schemeClr val="accent1">
                  <a:satMod val="200000"/>
                  <a:tint val="72000"/>
                </a:schemeClr>
              </a:solidFill>
              <a:prstDash val="solid"/>
            </a:ln>
            <a:solidFill>
              <a:schemeClr val="accent1">
                <a:satMod val="280000"/>
                <a:tint val="100000"/>
                <a:alpha val="5700"/>
              </a:schemeClr>
            </a:solidFill>
            <a:effectLst>
              <a:outerShdw blurRad="25000" dist="20000" dir="16020000" algn="tl">
                <a:schemeClr val="accent1">
                  <a:satMod val="200000"/>
                  <a:shade val="1000"/>
                  <a:alpha val="6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240753</xdr:colOff>
      <xdr:row>24</xdr:row>
      <xdr:rowOff>180975</xdr:rowOff>
    </xdr:from>
    <xdr:to>
      <xdr:col>13</xdr:col>
      <xdr:colOff>12153</xdr:colOff>
      <xdr:row>25</xdr:row>
      <xdr:rowOff>105778</xdr:rowOff>
    </xdr:to>
    <xdr:sp macro="" textlink="">
      <xdr:nvSpPr>
        <xdr:cNvPr id="19" name="Seta para a direita 63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8249373" y="3769995"/>
          <a:ext cx="1021080" cy="107683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cap="none" spc="100">
            <a:ln w="18000">
              <a:solidFill>
                <a:schemeClr val="accent1">
                  <a:satMod val="200000"/>
                  <a:tint val="72000"/>
                </a:schemeClr>
              </a:solidFill>
              <a:prstDash val="solid"/>
            </a:ln>
            <a:solidFill>
              <a:schemeClr val="accent1">
                <a:satMod val="280000"/>
                <a:tint val="100000"/>
                <a:alpha val="5700"/>
              </a:schemeClr>
            </a:solidFill>
            <a:effectLst>
              <a:outerShdw blurRad="25000" dist="20000" dir="16020000" algn="tl">
                <a:schemeClr val="accent1">
                  <a:satMod val="200000"/>
                  <a:shade val="1000"/>
                  <a:alpha val="6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197827</xdr:colOff>
      <xdr:row>7</xdr:row>
      <xdr:rowOff>100853</xdr:rowOff>
    </xdr:from>
    <xdr:to>
      <xdr:col>14</xdr:col>
      <xdr:colOff>470647</xdr:colOff>
      <xdr:row>7</xdr:row>
      <xdr:rowOff>117231</xdr:rowOff>
    </xdr:to>
    <xdr:cxnSp macro="">
      <xdr:nvCxnSpPr>
        <xdr:cNvPr id="20" name="Conector reto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5082247" y="481853"/>
          <a:ext cx="5271540" cy="16378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277584</xdr:colOff>
      <xdr:row>33</xdr:row>
      <xdr:rowOff>175820</xdr:rowOff>
    </xdr:from>
    <xdr:to>
      <xdr:col>15</xdr:col>
      <xdr:colOff>490101</xdr:colOff>
      <xdr:row>33</xdr:row>
      <xdr:rowOff>185058</xdr:rowOff>
    </xdr:to>
    <xdr:cxnSp macro="">
      <xdr:nvCxnSpPr>
        <xdr:cNvPr id="21" name="Conector reto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CxnSpPr>
          <a:endCxn id="60" idx="0"/>
        </xdr:cNvCxnSpPr>
      </xdr:nvCxnSpPr>
      <xdr:spPr>
        <a:xfrm flipV="1">
          <a:off x="6411684" y="5387900"/>
          <a:ext cx="4586397" cy="9238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264343</xdr:colOff>
      <xdr:row>35</xdr:row>
      <xdr:rowOff>44586</xdr:rowOff>
    </xdr:from>
    <xdr:to>
      <xdr:col>14</xdr:col>
      <xdr:colOff>393160</xdr:colOff>
      <xdr:row>35</xdr:row>
      <xdr:rowOff>84090</xdr:rowOff>
    </xdr:to>
    <xdr:cxnSp macro="">
      <xdr:nvCxnSpPr>
        <xdr:cNvPr id="22" name="Conector reto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CxnSpPr/>
      </xdr:nvCxnSpPr>
      <xdr:spPr>
        <a:xfrm flipV="1">
          <a:off x="6398443" y="5622426"/>
          <a:ext cx="3877857" cy="3950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283723</xdr:colOff>
      <xdr:row>36</xdr:row>
      <xdr:rowOff>144285</xdr:rowOff>
    </xdr:from>
    <xdr:to>
      <xdr:col>14</xdr:col>
      <xdr:colOff>389434</xdr:colOff>
      <xdr:row>36</xdr:row>
      <xdr:rowOff>182394</xdr:rowOff>
    </xdr:to>
    <xdr:cxnSp macro="">
      <xdr:nvCxnSpPr>
        <xdr:cNvPr id="23" name="Conector reto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6417823" y="5905005"/>
          <a:ext cx="3854751" cy="38109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304875</xdr:colOff>
      <xdr:row>38</xdr:row>
      <xdr:rowOff>53190</xdr:rowOff>
    </xdr:from>
    <xdr:to>
      <xdr:col>14</xdr:col>
      <xdr:colOff>319126</xdr:colOff>
      <xdr:row>38</xdr:row>
      <xdr:rowOff>84092</xdr:rowOff>
    </xdr:to>
    <xdr:cxnSp macro="">
      <xdr:nvCxnSpPr>
        <xdr:cNvPr id="24" name="Conector reto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CxnSpPr>
          <a:endCxn id="25" idx="0"/>
        </xdr:cNvCxnSpPr>
      </xdr:nvCxnSpPr>
      <xdr:spPr>
        <a:xfrm flipV="1">
          <a:off x="6438975" y="6179670"/>
          <a:ext cx="3763291" cy="30902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51289</xdr:colOff>
      <xdr:row>38</xdr:row>
      <xdr:rowOff>52692</xdr:rowOff>
    </xdr:from>
    <xdr:to>
      <xdr:col>14</xdr:col>
      <xdr:colOff>559340</xdr:colOff>
      <xdr:row>41</xdr:row>
      <xdr:rowOff>137809</xdr:rowOff>
    </xdr:to>
    <xdr:sp macro="" textlink="">
      <xdr:nvSpPr>
        <xdr:cNvPr id="25" name="Arco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9934429" y="6179172"/>
          <a:ext cx="508051" cy="664237"/>
        </a:xfrm>
        <a:prstGeom prst="arc">
          <a:avLst>
            <a:gd name="adj1" fmla="val 16341269"/>
            <a:gd name="adj2" fmla="val 4743482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11206</xdr:colOff>
      <xdr:row>41</xdr:row>
      <xdr:rowOff>125650</xdr:rowOff>
    </xdr:from>
    <xdr:to>
      <xdr:col>14</xdr:col>
      <xdr:colOff>385053</xdr:colOff>
      <xdr:row>41</xdr:row>
      <xdr:rowOff>179294</xdr:rowOff>
    </xdr:to>
    <xdr:cxnSp macro="">
      <xdr:nvCxnSpPr>
        <xdr:cNvPr id="26" name="Conector reto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CxnSpPr/>
      </xdr:nvCxnSpPr>
      <xdr:spPr>
        <a:xfrm flipV="1">
          <a:off x="5520466" y="6831250"/>
          <a:ext cx="4747727" cy="5364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571499</xdr:colOff>
      <xdr:row>10</xdr:row>
      <xdr:rowOff>18587</xdr:rowOff>
    </xdr:from>
    <xdr:to>
      <xdr:col>7</xdr:col>
      <xdr:colOff>97572</xdr:colOff>
      <xdr:row>14</xdr:row>
      <xdr:rowOff>47626</xdr:rowOff>
    </xdr:to>
    <xdr:cxnSp macro="">
      <xdr:nvCxnSpPr>
        <xdr:cNvPr id="27" name="Conector reto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CxnSpPr/>
      </xdr:nvCxnSpPr>
      <xdr:spPr>
        <a:xfrm rot="5400000" flipH="1" flipV="1">
          <a:off x="4823436" y="971110"/>
          <a:ext cx="791039" cy="7757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</xdr:colOff>
      <xdr:row>10</xdr:row>
      <xdr:rowOff>13607</xdr:rowOff>
    </xdr:from>
    <xdr:to>
      <xdr:col>13</xdr:col>
      <xdr:colOff>23232</xdr:colOff>
      <xdr:row>10</xdr:row>
      <xdr:rowOff>18585</xdr:rowOff>
    </xdr:to>
    <xdr:cxnSp macro="">
      <xdr:nvCxnSpPr>
        <xdr:cNvPr id="28" name="Conector reto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CxnSpPr/>
      </xdr:nvCxnSpPr>
      <xdr:spPr>
        <a:xfrm>
          <a:off x="5604510" y="958487"/>
          <a:ext cx="3677022" cy="49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23232</xdr:colOff>
      <xdr:row>10</xdr:row>
      <xdr:rowOff>23231</xdr:rowOff>
    </xdr:from>
    <xdr:to>
      <xdr:col>14</xdr:col>
      <xdr:colOff>145677</xdr:colOff>
      <xdr:row>14</xdr:row>
      <xdr:rowOff>56030</xdr:rowOff>
    </xdr:to>
    <xdr:cxnSp macro="">
      <xdr:nvCxnSpPr>
        <xdr:cNvPr id="29" name="Conector reto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CxnSpPr/>
      </xdr:nvCxnSpPr>
      <xdr:spPr>
        <a:xfrm rot="16200000" flipH="1">
          <a:off x="9257775" y="991868"/>
          <a:ext cx="794799" cy="74728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65484</xdr:colOff>
      <xdr:row>10</xdr:row>
      <xdr:rowOff>11907</xdr:rowOff>
    </xdr:from>
    <xdr:to>
      <xdr:col>8</xdr:col>
      <xdr:colOff>202406</xdr:colOff>
      <xdr:row>14</xdr:row>
      <xdr:rowOff>41672</xdr:rowOff>
    </xdr:to>
    <xdr:cxnSp macro="">
      <xdr:nvCxnSpPr>
        <xdr:cNvPr id="30" name="Conector reto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CxnSpPr/>
      </xdr:nvCxnSpPr>
      <xdr:spPr>
        <a:xfrm rot="5400000" flipH="1" flipV="1">
          <a:off x="5559742" y="971789"/>
          <a:ext cx="791765" cy="7617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10</xdr:row>
      <xdr:rowOff>11906</xdr:rowOff>
    </xdr:from>
    <xdr:to>
      <xdr:col>10</xdr:col>
      <xdr:colOff>208359</xdr:colOff>
      <xdr:row>14</xdr:row>
      <xdr:rowOff>63059</xdr:rowOff>
    </xdr:to>
    <xdr:cxnSp macro="">
      <xdr:nvCxnSpPr>
        <xdr:cNvPr id="31" name="Conector reto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CxnSpPr/>
      </xdr:nvCxnSpPr>
      <xdr:spPr>
        <a:xfrm flipV="1">
          <a:off x="6758940" y="956786"/>
          <a:ext cx="833199" cy="813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29767</xdr:colOff>
      <xdr:row>10</xdr:row>
      <xdr:rowOff>9526</xdr:rowOff>
    </xdr:from>
    <xdr:to>
      <xdr:col>9</xdr:col>
      <xdr:colOff>188742</xdr:colOff>
      <xdr:row>14</xdr:row>
      <xdr:rowOff>41672</xdr:rowOff>
    </xdr:to>
    <xdr:cxnSp macro="">
      <xdr:nvCxnSpPr>
        <xdr:cNvPr id="32" name="Conector reto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CxnSpPr/>
      </xdr:nvCxnSpPr>
      <xdr:spPr>
        <a:xfrm rot="5400000" flipH="1" flipV="1">
          <a:off x="6158702" y="959571"/>
          <a:ext cx="794146" cy="78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53579</xdr:colOff>
      <xdr:row>10</xdr:row>
      <xdr:rowOff>19052</xdr:rowOff>
    </xdr:from>
    <xdr:to>
      <xdr:col>11</xdr:col>
      <xdr:colOff>150642</xdr:colOff>
      <xdr:row>14</xdr:row>
      <xdr:rowOff>41672</xdr:rowOff>
    </xdr:to>
    <xdr:cxnSp macro="">
      <xdr:nvCxnSpPr>
        <xdr:cNvPr id="33" name="Conector reto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CxnSpPr/>
      </xdr:nvCxnSpPr>
      <xdr:spPr>
        <a:xfrm rot="5400000" flipH="1" flipV="1">
          <a:off x="7406001" y="995290"/>
          <a:ext cx="784620" cy="72190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490903</xdr:colOff>
      <xdr:row>10</xdr:row>
      <xdr:rowOff>9528</xdr:rowOff>
    </xdr:from>
    <xdr:to>
      <xdr:col>12</xdr:col>
      <xdr:colOff>55390</xdr:colOff>
      <xdr:row>14</xdr:row>
      <xdr:rowOff>51290</xdr:rowOff>
    </xdr:to>
    <xdr:cxnSp macro="">
      <xdr:nvCxnSpPr>
        <xdr:cNvPr id="34" name="Conector reto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CxnSpPr/>
      </xdr:nvCxnSpPr>
      <xdr:spPr>
        <a:xfrm rot="5400000" flipH="1" flipV="1">
          <a:off x="7879886" y="949205"/>
          <a:ext cx="803762" cy="8141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490903</xdr:colOff>
      <xdr:row>10</xdr:row>
      <xdr:rowOff>19053</xdr:rowOff>
    </xdr:from>
    <xdr:to>
      <xdr:col>13</xdr:col>
      <xdr:colOff>7765</xdr:colOff>
      <xdr:row>14</xdr:row>
      <xdr:rowOff>43963</xdr:rowOff>
    </xdr:to>
    <xdr:cxnSp macro="">
      <xdr:nvCxnSpPr>
        <xdr:cNvPr id="35" name="Conector reto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CxnSpPr/>
      </xdr:nvCxnSpPr>
      <xdr:spPr>
        <a:xfrm rot="5400000" flipH="1" flipV="1">
          <a:off x="8489339" y="974117"/>
          <a:ext cx="786910" cy="7665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190500</xdr:colOff>
      <xdr:row>11</xdr:row>
      <xdr:rowOff>109903</xdr:rowOff>
    </xdr:from>
    <xdr:to>
      <xdr:col>13</xdr:col>
      <xdr:colOff>51288</xdr:colOff>
      <xdr:row>11</xdr:row>
      <xdr:rowOff>117230</xdr:rowOff>
    </xdr:to>
    <xdr:cxnSp macro="">
      <xdr:nvCxnSpPr>
        <xdr:cNvPr id="36" name="Conector reto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CxnSpPr/>
      </xdr:nvCxnSpPr>
      <xdr:spPr>
        <a:xfrm>
          <a:off x="5074920" y="1245283"/>
          <a:ext cx="4234668" cy="7327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58615</xdr:colOff>
      <xdr:row>11</xdr:row>
      <xdr:rowOff>117231</xdr:rowOff>
    </xdr:from>
    <xdr:to>
      <xdr:col>13</xdr:col>
      <xdr:colOff>58616</xdr:colOff>
      <xdr:row>15</xdr:row>
      <xdr:rowOff>131885</xdr:rowOff>
    </xdr:to>
    <xdr:cxnSp macro="">
      <xdr:nvCxnSpPr>
        <xdr:cNvPr id="37" name="Conector reto 36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CxnSpPr/>
      </xdr:nvCxnSpPr>
      <xdr:spPr>
        <a:xfrm flipV="1">
          <a:off x="9316915" y="1252611"/>
          <a:ext cx="1" cy="77665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505557</xdr:colOff>
      <xdr:row>15</xdr:row>
      <xdr:rowOff>117231</xdr:rowOff>
    </xdr:from>
    <xdr:to>
      <xdr:col>13</xdr:col>
      <xdr:colOff>65942</xdr:colOff>
      <xdr:row>15</xdr:row>
      <xdr:rowOff>131885</xdr:rowOff>
    </xdr:to>
    <xdr:cxnSp macro="">
      <xdr:nvCxnSpPr>
        <xdr:cNvPr id="38" name="Conector reto 37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CxnSpPr/>
      </xdr:nvCxnSpPr>
      <xdr:spPr>
        <a:xfrm>
          <a:off x="4765137" y="2014611"/>
          <a:ext cx="4559105" cy="1465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408878</xdr:colOff>
      <xdr:row>11</xdr:row>
      <xdr:rowOff>171915</xdr:rowOff>
    </xdr:from>
    <xdr:to>
      <xdr:col>5</xdr:col>
      <xdr:colOff>502560</xdr:colOff>
      <xdr:row>15</xdr:row>
      <xdr:rowOff>113568</xdr:rowOff>
    </xdr:to>
    <xdr:cxnSp macro="">
      <xdr:nvCxnSpPr>
        <xdr:cNvPr id="39" name="Conector reto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CxnSpPr/>
      </xdr:nvCxnSpPr>
      <xdr:spPr>
        <a:xfrm flipH="1" flipV="1">
          <a:off x="4668458" y="1307295"/>
          <a:ext cx="93682" cy="70365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418295</xdr:colOff>
      <xdr:row>12</xdr:row>
      <xdr:rowOff>79577</xdr:rowOff>
    </xdr:from>
    <xdr:to>
      <xdr:col>5</xdr:col>
      <xdr:colOff>496180</xdr:colOff>
      <xdr:row>15</xdr:row>
      <xdr:rowOff>3205</xdr:rowOff>
    </xdr:to>
    <xdr:sp macro="" textlink="">
      <xdr:nvSpPr>
        <xdr:cNvPr id="40" name="Seta para a direita 70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SpPr/>
      </xdr:nvSpPr>
      <xdr:spPr>
        <a:xfrm rot="15749674">
          <a:off x="4469254" y="1614078"/>
          <a:ext cx="495128" cy="77885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cap="none" spc="100">
            <a:ln w="18000">
              <a:solidFill>
                <a:schemeClr val="accent1">
                  <a:satMod val="200000"/>
                  <a:tint val="72000"/>
                </a:schemeClr>
              </a:solidFill>
              <a:prstDash val="solid"/>
            </a:ln>
            <a:solidFill>
              <a:schemeClr val="accent1">
                <a:satMod val="280000"/>
                <a:tint val="100000"/>
                <a:alpha val="5700"/>
              </a:schemeClr>
            </a:solidFill>
            <a:effectLst>
              <a:outerShdw blurRad="25000" dist="20000" dir="16020000" algn="tl">
                <a:schemeClr val="accent1">
                  <a:satMod val="200000"/>
                  <a:shade val="1000"/>
                  <a:alpha val="6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83342</xdr:colOff>
      <xdr:row>55</xdr:row>
      <xdr:rowOff>122464</xdr:rowOff>
    </xdr:from>
    <xdr:to>
      <xdr:col>5</xdr:col>
      <xdr:colOff>585106</xdr:colOff>
      <xdr:row>62</xdr:row>
      <xdr:rowOff>17859</xdr:rowOff>
    </xdr:to>
    <xdr:sp macro="" textlink="">
      <xdr:nvSpPr>
        <xdr:cNvPr id="41" name="Arco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SpPr/>
      </xdr:nvSpPr>
      <xdr:spPr>
        <a:xfrm flipH="1">
          <a:off x="3718082" y="9380764"/>
          <a:ext cx="1126604" cy="1198415"/>
        </a:xfrm>
        <a:prstGeom prst="arc">
          <a:avLst>
            <a:gd name="adj1" fmla="val 16357909"/>
            <a:gd name="adj2" fmla="val 5515914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214738</xdr:colOff>
      <xdr:row>61</xdr:row>
      <xdr:rowOff>117339</xdr:rowOff>
    </xdr:from>
    <xdr:to>
      <xdr:col>9</xdr:col>
      <xdr:colOff>599925</xdr:colOff>
      <xdr:row>62</xdr:row>
      <xdr:rowOff>42142</xdr:rowOff>
    </xdr:to>
    <xdr:sp macro="" textlink="">
      <xdr:nvSpPr>
        <xdr:cNvPr id="42" name="Seta para a direita 100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SpPr/>
      </xdr:nvSpPr>
      <xdr:spPr>
        <a:xfrm>
          <a:off x="6348838" y="10495779"/>
          <a:ext cx="1010027" cy="107683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cap="none" spc="100">
            <a:ln w="18000">
              <a:solidFill>
                <a:schemeClr val="accent1">
                  <a:satMod val="200000"/>
                  <a:tint val="72000"/>
                </a:schemeClr>
              </a:solidFill>
              <a:prstDash val="solid"/>
            </a:ln>
            <a:solidFill>
              <a:schemeClr val="accent1">
                <a:satMod val="280000"/>
                <a:tint val="100000"/>
                <a:alpha val="5700"/>
              </a:schemeClr>
            </a:solidFill>
            <a:effectLst>
              <a:outerShdw blurRad="25000" dist="20000" dir="16020000" algn="tl">
                <a:schemeClr val="accent1">
                  <a:satMod val="200000"/>
                  <a:shade val="1000"/>
                  <a:alpha val="6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54394</xdr:colOff>
      <xdr:row>61</xdr:row>
      <xdr:rowOff>113023</xdr:rowOff>
    </xdr:from>
    <xdr:to>
      <xdr:col>15</xdr:col>
      <xdr:colOff>435393</xdr:colOff>
      <xdr:row>62</xdr:row>
      <xdr:rowOff>37826</xdr:rowOff>
    </xdr:to>
    <xdr:sp macro="" textlink="">
      <xdr:nvSpPr>
        <xdr:cNvPr id="43" name="Seta para a direita 101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SpPr/>
      </xdr:nvSpPr>
      <xdr:spPr>
        <a:xfrm>
          <a:off x="9937534" y="10491463"/>
          <a:ext cx="1005839" cy="107683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163285</xdr:colOff>
      <xdr:row>55</xdr:row>
      <xdr:rowOff>81644</xdr:rowOff>
    </xdr:from>
    <xdr:to>
      <xdr:col>9</xdr:col>
      <xdr:colOff>557893</xdr:colOff>
      <xdr:row>56</xdr:row>
      <xdr:rowOff>1</xdr:rowOff>
    </xdr:to>
    <xdr:sp macro="" textlink="">
      <xdr:nvSpPr>
        <xdr:cNvPr id="44" name="Seta para a esquerda 31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SpPr/>
      </xdr:nvSpPr>
      <xdr:spPr>
        <a:xfrm>
          <a:off x="6297385" y="9339944"/>
          <a:ext cx="1019448" cy="101237"/>
        </a:xfrm>
        <a:prstGeom prst="lef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530678</xdr:colOff>
      <xdr:row>55</xdr:row>
      <xdr:rowOff>68035</xdr:rowOff>
    </xdr:from>
    <xdr:to>
      <xdr:col>14</xdr:col>
      <xdr:colOff>312964</xdr:colOff>
      <xdr:row>55</xdr:row>
      <xdr:rowOff>176892</xdr:rowOff>
    </xdr:to>
    <xdr:sp macro="" textlink="">
      <xdr:nvSpPr>
        <xdr:cNvPr id="45" name="Seta para a esquerda 126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SpPr/>
      </xdr:nvSpPr>
      <xdr:spPr>
        <a:xfrm>
          <a:off x="9164138" y="9326335"/>
          <a:ext cx="1031966" cy="108857"/>
        </a:xfrm>
        <a:prstGeom prst="lef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1590</xdr:colOff>
      <xdr:row>55</xdr:row>
      <xdr:rowOff>81645</xdr:rowOff>
    </xdr:from>
    <xdr:to>
      <xdr:col>17</xdr:col>
      <xdr:colOff>164986</xdr:colOff>
      <xdr:row>55</xdr:row>
      <xdr:rowOff>123331</xdr:rowOff>
    </xdr:to>
    <xdr:cxnSp macro="">
      <xdr:nvCxnSpPr>
        <xdr:cNvPr id="46" name="Conector reto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CxnSpPr>
          <a:stCxn id="41" idx="0"/>
        </xdr:cNvCxnSpPr>
      </xdr:nvCxnSpPr>
      <xdr:spPr>
        <a:xfrm flipV="1">
          <a:off x="4261170" y="9339945"/>
          <a:ext cx="7791016" cy="4168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51927</xdr:colOff>
      <xdr:row>61</xdr:row>
      <xdr:rowOff>163287</xdr:rowOff>
    </xdr:from>
    <xdr:to>
      <xdr:col>17</xdr:col>
      <xdr:colOff>598714</xdr:colOff>
      <xdr:row>62</xdr:row>
      <xdr:rowOff>17392</xdr:rowOff>
    </xdr:to>
    <xdr:cxnSp macro="">
      <xdr:nvCxnSpPr>
        <xdr:cNvPr id="47" name="Conector reto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CxnSpPr>
          <a:stCxn id="41" idx="2"/>
        </xdr:cNvCxnSpPr>
      </xdr:nvCxnSpPr>
      <xdr:spPr>
        <a:xfrm flipV="1">
          <a:off x="4311507" y="10541727"/>
          <a:ext cx="8174407" cy="3698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320917</xdr:colOff>
      <xdr:row>55</xdr:row>
      <xdr:rowOff>79130</xdr:rowOff>
    </xdr:from>
    <xdr:to>
      <xdr:col>18</xdr:col>
      <xdr:colOff>89595</xdr:colOff>
      <xdr:row>60</xdr:row>
      <xdr:rowOff>133561</xdr:rowOff>
    </xdr:to>
    <xdr:sp macro="" textlink="">
      <xdr:nvSpPr>
        <xdr:cNvPr id="48" name="Arco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SpPr/>
      </xdr:nvSpPr>
      <xdr:spPr>
        <a:xfrm flipH="1">
          <a:off x="11453737" y="9337430"/>
          <a:ext cx="1147898" cy="991691"/>
        </a:xfrm>
        <a:prstGeom prst="arc">
          <a:avLst>
            <a:gd name="adj1" fmla="val 10645765"/>
            <a:gd name="adj2" fmla="val 16438907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91109</xdr:colOff>
      <xdr:row>58</xdr:row>
      <xdr:rowOff>0</xdr:rowOff>
    </xdr:from>
    <xdr:to>
      <xdr:col>18</xdr:col>
      <xdr:colOff>91110</xdr:colOff>
      <xdr:row>60</xdr:row>
      <xdr:rowOff>0</xdr:rowOff>
    </xdr:to>
    <xdr:cxnSp macro="">
      <xdr:nvCxnSpPr>
        <xdr:cNvPr id="49" name="Conector reto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CxnSpPr/>
      </xdr:nvCxnSpPr>
      <xdr:spPr>
        <a:xfrm flipV="1">
          <a:off x="12603149" y="9822180"/>
          <a:ext cx="1" cy="37338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11206</xdr:colOff>
      <xdr:row>46</xdr:row>
      <xdr:rowOff>1</xdr:rowOff>
    </xdr:from>
    <xdr:to>
      <xdr:col>14</xdr:col>
      <xdr:colOff>448235</xdr:colOff>
      <xdr:row>46</xdr:row>
      <xdr:rowOff>11206</xdr:rowOff>
    </xdr:to>
    <xdr:cxnSp macro="">
      <xdr:nvCxnSpPr>
        <xdr:cNvPr id="50" name="Conector reto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CxnSpPr/>
      </xdr:nvCxnSpPr>
      <xdr:spPr>
        <a:xfrm>
          <a:off x="5520466" y="7642861"/>
          <a:ext cx="4810909" cy="1120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214098</xdr:colOff>
      <xdr:row>43</xdr:row>
      <xdr:rowOff>23232</xdr:rowOff>
    </xdr:from>
    <xdr:to>
      <xdr:col>16</xdr:col>
      <xdr:colOff>4646</xdr:colOff>
      <xdr:row>43</xdr:row>
      <xdr:rowOff>34928</xdr:rowOff>
    </xdr:to>
    <xdr:cxnSp macro="">
      <xdr:nvCxnSpPr>
        <xdr:cNvPr id="51" name="Conector reto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CxnSpPr/>
      </xdr:nvCxnSpPr>
      <xdr:spPr>
        <a:xfrm flipV="1">
          <a:off x="6348198" y="7094592"/>
          <a:ext cx="4789268" cy="1169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186446</xdr:colOff>
      <xdr:row>36</xdr:row>
      <xdr:rowOff>182394</xdr:rowOff>
    </xdr:from>
    <xdr:to>
      <xdr:col>8</xdr:col>
      <xdr:colOff>415559</xdr:colOff>
      <xdr:row>38</xdr:row>
      <xdr:rowOff>85117</xdr:rowOff>
    </xdr:to>
    <xdr:sp macro="" textlink="">
      <xdr:nvSpPr>
        <xdr:cNvPr id="52" name="Arco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SpPr/>
      </xdr:nvSpPr>
      <xdr:spPr>
        <a:xfrm>
          <a:off x="6320546" y="5943114"/>
          <a:ext cx="229113" cy="268483"/>
        </a:xfrm>
        <a:prstGeom prst="arc">
          <a:avLst>
            <a:gd name="adj1" fmla="val 5345816"/>
            <a:gd name="adj2" fmla="val 16503753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263458</xdr:colOff>
      <xdr:row>35</xdr:row>
      <xdr:rowOff>44586</xdr:rowOff>
    </xdr:from>
    <xdr:to>
      <xdr:col>14</xdr:col>
      <xdr:colOff>502596</xdr:colOff>
      <xdr:row>36</xdr:row>
      <xdr:rowOff>145915</xdr:rowOff>
    </xdr:to>
    <xdr:sp macro="" textlink="">
      <xdr:nvSpPr>
        <xdr:cNvPr id="53" name="Arco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SpPr/>
      </xdr:nvSpPr>
      <xdr:spPr>
        <a:xfrm>
          <a:off x="10146598" y="5622426"/>
          <a:ext cx="239138" cy="284209"/>
        </a:xfrm>
        <a:prstGeom prst="arc">
          <a:avLst>
            <a:gd name="adj1" fmla="val 16314913"/>
            <a:gd name="adj2" fmla="val 5382669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158075</xdr:colOff>
      <xdr:row>33</xdr:row>
      <xdr:rowOff>182393</xdr:rowOff>
    </xdr:from>
    <xdr:to>
      <xdr:col>8</xdr:col>
      <xdr:colOff>387188</xdr:colOff>
      <xdr:row>35</xdr:row>
      <xdr:rowOff>85116</xdr:rowOff>
    </xdr:to>
    <xdr:sp macro="" textlink="">
      <xdr:nvSpPr>
        <xdr:cNvPr id="54" name="Arco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SpPr/>
      </xdr:nvSpPr>
      <xdr:spPr>
        <a:xfrm>
          <a:off x="6292175" y="5394473"/>
          <a:ext cx="229113" cy="268483"/>
        </a:xfrm>
        <a:prstGeom prst="arc">
          <a:avLst>
            <a:gd name="adj1" fmla="val 5345816"/>
            <a:gd name="adj2" fmla="val 16503753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209088</xdr:colOff>
      <xdr:row>44</xdr:row>
      <xdr:rowOff>123340</xdr:rowOff>
    </xdr:from>
    <xdr:to>
      <xdr:col>14</xdr:col>
      <xdr:colOff>428919</xdr:colOff>
      <xdr:row>44</xdr:row>
      <xdr:rowOff>133742</xdr:rowOff>
    </xdr:to>
    <xdr:cxnSp macro="">
      <xdr:nvCxnSpPr>
        <xdr:cNvPr id="55" name="Conector reto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CxnSpPr>
          <a:endCxn id="56" idx="0"/>
        </xdr:cNvCxnSpPr>
      </xdr:nvCxnSpPr>
      <xdr:spPr>
        <a:xfrm flipV="1">
          <a:off x="6343188" y="7392820"/>
          <a:ext cx="3968871" cy="10402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291353</xdr:colOff>
      <xdr:row>44</xdr:row>
      <xdr:rowOff>123265</xdr:rowOff>
    </xdr:from>
    <xdr:to>
      <xdr:col>14</xdr:col>
      <xdr:colOff>557561</xdr:colOff>
      <xdr:row>46</xdr:row>
      <xdr:rowOff>9292</xdr:rowOff>
    </xdr:to>
    <xdr:sp macro="" textlink="">
      <xdr:nvSpPr>
        <xdr:cNvPr id="56" name="Arco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SpPr/>
      </xdr:nvSpPr>
      <xdr:spPr>
        <a:xfrm>
          <a:off x="10174493" y="7392745"/>
          <a:ext cx="266208" cy="259407"/>
        </a:xfrm>
        <a:prstGeom prst="arc">
          <a:avLst>
            <a:gd name="adj1" fmla="val 16314913"/>
            <a:gd name="adj2" fmla="val 5382669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97573</xdr:colOff>
      <xdr:row>43</xdr:row>
      <xdr:rowOff>36351</xdr:rowOff>
    </xdr:from>
    <xdr:to>
      <xdr:col>8</xdr:col>
      <xdr:colOff>339183</xdr:colOff>
      <xdr:row>44</xdr:row>
      <xdr:rowOff>134744</xdr:rowOff>
    </xdr:to>
    <xdr:sp macro="" textlink="">
      <xdr:nvSpPr>
        <xdr:cNvPr id="57" name="Arco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SpPr/>
      </xdr:nvSpPr>
      <xdr:spPr>
        <a:xfrm>
          <a:off x="6231673" y="7107711"/>
          <a:ext cx="241610" cy="296513"/>
        </a:xfrm>
        <a:prstGeom prst="arc">
          <a:avLst>
            <a:gd name="adj1" fmla="val 5345816"/>
            <a:gd name="adj2" fmla="val 16503753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9737</xdr:colOff>
      <xdr:row>34</xdr:row>
      <xdr:rowOff>147532</xdr:rowOff>
    </xdr:from>
    <xdr:to>
      <xdr:col>16</xdr:col>
      <xdr:colOff>23232</xdr:colOff>
      <xdr:row>39</xdr:row>
      <xdr:rowOff>0</xdr:rowOff>
    </xdr:to>
    <xdr:cxnSp macro="">
      <xdr:nvCxnSpPr>
        <xdr:cNvPr id="58" name="Conector reto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CxnSpPr>
          <a:stCxn id="60" idx="2"/>
        </xdr:cNvCxnSpPr>
      </xdr:nvCxnSpPr>
      <xdr:spPr>
        <a:xfrm>
          <a:off x="11142557" y="5542492"/>
          <a:ext cx="13495" cy="782108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470646</xdr:colOff>
      <xdr:row>45</xdr:row>
      <xdr:rowOff>145677</xdr:rowOff>
    </xdr:from>
    <xdr:to>
      <xdr:col>10</xdr:col>
      <xdr:colOff>243511</xdr:colOff>
      <xdr:row>46</xdr:row>
      <xdr:rowOff>70480</xdr:rowOff>
    </xdr:to>
    <xdr:sp macro="" textlink="">
      <xdr:nvSpPr>
        <xdr:cNvPr id="59" name="Seta para a direita 97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SpPr/>
      </xdr:nvSpPr>
      <xdr:spPr>
        <a:xfrm>
          <a:off x="6604746" y="7605657"/>
          <a:ext cx="1022545" cy="107683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cap="none" spc="100">
            <a:ln w="18000">
              <a:solidFill>
                <a:schemeClr val="accent1">
                  <a:satMod val="200000"/>
                  <a:tint val="72000"/>
                </a:schemeClr>
              </a:solidFill>
              <a:prstDash val="solid"/>
            </a:ln>
            <a:solidFill>
              <a:schemeClr val="accent1">
                <a:satMod val="280000"/>
                <a:tint val="100000"/>
                <a:alpha val="5700"/>
              </a:schemeClr>
            </a:solidFill>
            <a:effectLst>
              <a:outerShdw blurRad="25000" dist="20000" dir="16020000" algn="tl">
                <a:schemeClr val="accent1">
                  <a:satMod val="200000"/>
                  <a:shade val="1000"/>
                  <a:alpha val="60000"/>
                </a:schemeClr>
              </a:outerShdw>
            </a:effectLst>
          </a:endParaRPr>
        </a:p>
      </xdr:txBody>
    </xdr:sp>
    <xdr:clientData/>
  </xdr:twoCellAnchor>
  <xdr:twoCellAnchor>
    <xdr:from>
      <xdr:col>15</xdr:col>
      <xdr:colOff>381000</xdr:colOff>
      <xdr:row>33</xdr:row>
      <xdr:rowOff>175260</xdr:rowOff>
    </xdr:from>
    <xdr:to>
      <xdr:col>16</xdr:col>
      <xdr:colOff>10538</xdr:colOff>
      <xdr:row>35</xdr:row>
      <xdr:rowOff>86089</xdr:rowOff>
    </xdr:to>
    <xdr:sp macro="" textlink="">
      <xdr:nvSpPr>
        <xdr:cNvPr id="60" name="Arco 59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SpPr/>
      </xdr:nvSpPr>
      <xdr:spPr>
        <a:xfrm>
          <a:off x="10888980" y="5387340"/>
          <a:ext cx="254378" cy="276589"/>
        </a:xfrm>
        <a:prstGeom prst="arc">
          <a:avLst>
            <a:gd name="adj1" fmla="val 15952856"/>
            <a:gd name="adj2" fmla="val 484715"/>
          </a:avLst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2</xdr:col>
      <xdr:colOff>1133475</xdr:colOff>
      <xdr:row>4</xdr:row>
      <xdr:rowOff>95250</xdr:rowOff>
    </xdr:to>
    <xdr:sp macro="" textlink="">
      <xdr:nvSpPr>
        <xdr:cNvPr id="61" name="Retângulo de cantos arredondados 60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SpPr/>
      </xdr:nvSpPr>
      <xdr:spPr>
        <a:xfrm>
          <a:off x="607219" y="190500"/>
          <a:ext cx="1740694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n>
                <a:solidFill>
                  <a:schemeClr val="tx1"/>
                </a:solidFill>
              </a:ln>
              <a:latin typeface="Bauhaus 93" panose="04030905020B02020C02" pitchFamily="82" charset="0"/>
            </a:rPr>
            <a:t>INÍCIO</a:t>
          </a:r>
        </a:p>
      </xdr:txBody>
    </xdr:sp>
    <xdr:clientData/>
  </xdr:twoCellAnchor>
  <xdr:twoCellAnchor>
    <xdr:from>
      <xdr:col>3</xdr:col>
      <xdr:colOff>214313</xdr:colOff>
      <xdr:row>1</xdr:row>
      <xdr:rowOff>0</xdr:rowOff>
    </xdr:from>
    <xdr:to>
      <xdr:col>5</xdr:col>
      <xdr:colOff>569189</xdr:colOff>
      <xdr:row>4</xdr:row>
      <xdr:rowOff>91299</xdr:rowOff>
    </xdr:to>
    <xdr:sp macro="" textlink="">
      <xdr:nvSpPr>
        <xdr:cNvPr id="62" name="Retângulo de cantos arredondados 6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SpPr/>
      </xdr:nvSpPr>
      <xdr:spPr>
        <a:xfrm>
          <a:off x="2976563" y="190500"/>
          <a:ext cx="1747907" cy="6627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6</xdr:col>
      <xdr:colOff>464344</xdr:colOff>
      <xdr:row>1</xdr:row>
      <xdr:rowOff>0</xdr:rowOff>
    </xdr:from>
    <xdr:to>
      <xdr:col>9</xdr:col>
      <xdr:colOff>396213</xdr:colOff>
      <xdr:row>4</xdr:row>
      <xdr:rowOff>91299</xdr:rowOff>
    </xdr:to>
    <xdr:sp macro="" textlink="">
      <xdr:nvSpPr>
        <xdr:cNvPr id="63" name="Retângulo de cantos arredondados 62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SpPr/>
      </xdr:nvSpPr>
      <xdr:spPr>
        <a:xfrm>
          <a:off x="5226844" y="190500"/>
          <a:ext cx="1753525" cy="6627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3</xdr:col>
      <xdr:colOff>392906</xdr:colOff>
      <xdr:row>1</xdr:row>
      <xdr:rowOff>154781</xdr:rowOff>
    </xdr:from>
    <xdr:to>
      <xdr:col>5</xdr:col>
      <xdr:colOff>246545</xdr:colOff>
      <xdr:row>3</xdr:row>
      <xdr:rowOff>177760</xdr:rowOff>
    </xdr:to>
    <xdr:sp macro="" textlink="">
      <xdr:nvSpPr>
        <xdr:cNvPr id="65" name="Seta para a esquerda 6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SpPr/>
      </xdr:nvSpPr>
      <xdr:spPr>
        <a:xfrm>
          <a:off x="3155156" y="345281"/>
          <a:ext cx="1246670" cy="403979"/>
        </a:xfrm>
        <a:prstGeom prst="lef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166687</xdr:colOff>
      <xdr:row>1</xdr:row>
      <xdr:rowOff>154781</xdr:rowOff>
    </xdr:from>
    <xdr:to>
      <xdr:col>9</xdr:col>
      <xdr:colOff>201406</xdr:colOff>
      <xdr:row>3</xdr:row>
      <xdr:rowOff>181074</xdr:rowOff>
    </xdr:to>
    <xdr:sp macro="" textlink="">
      <xdr:nvSpPr>
        <xdr:cNvPr id="66" name="Seta para a direita 65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SpPr/>
      </xdr:nvSpPr>
      <xdr:spPr>
        <a:xfrm>
          <a:off x="5536406" y="345281"/>
          <a:ext cx="1249156" cy="407293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664369</xdr:colOff>
      <xdr:row>34</xdr:row>
      <xdr:rowOff>73819</xdr:rowOff>
    </xdr:from>
    <xdr:to>
      <xdr:col>22</xdr:col>
      <xdr:colOff>223837</xdr:colOff>
      <xdr:row>52</xdr:row>
      <xdr:rowOff>50006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1</xdr:row>
      <xdr:rowOff>83344</xdr:rowOff>
    </xdr:from>
    <xdr:to>
      <xdr:col>4</xdr:col>
      <xdr:colOff>504825</xdr:colOff>
      <xdr:row>4</xdr:row>
      <xdr:rowOff>178594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590550" y="273844"/>
          <a:ext cx="1735931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ln>
                <a:solidFill>
                  <a:schemeClr val="tx1"/>
                </a:solidFill>
              </a:ln>
              <a:latin typeface="Bauhaus 93" panose="04030905020B02020C02" pitchFamily="82" charset="0"/>
            </a:rPr>
            <a:t>INÍCIO</a:t>
          </a:r>
        </a:p>
      </xdr:txBody>
    </xdr:sp>
    <xdr:clientData/>
  </xdr:twoCellAnchor>
  <xdr:twoCellAnchor>
    <xdr:from>
      <xdr:col>6</xdr:col>
      <xdr:colOff>217170</xdr:colOff>
      <xdr:row>0</xdr:row>
      <xdr:rowOff>55245</xdr:rowOff>
    </xdr:from>
    <xdr:to>
      <xdr:col>11</xdr:col>
      <xdr:colOff>17145</xdr:colOff>
      <xdr:row>5</xdr:row>
      <xdr:rowOff>139065</xdr:rowOff>
    </xdr:to>
    <xdr:sp macro="" textlink="">
      <xdr:nvSpPr>
        <xdr:cNvPr id="4" name="CaixaDeTexto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6541770" y="55245"/>
          <a:ext cx="4114800" cy="9982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 tabela abaixo indica a demanda</a:t>
          </a:r>
          <a:r>
            <a:rPr lang="pt-BR" sz="1100" baseline="0"/>
            <a:t> que ocasionou o problema observado no atendimento de pedidos.</a:t>
          </a:r>
        </a:p>
        <a:p>
          <a:endParaRPr lang="pt-BR" sz="1100" baseline="0"/>
        </a:p>
        <a:p>
          <a:r>
            <a:rPr lang="pt-BR" sz="1100" baseline="0"/>
            <a:t>339.020 ficadoxes ao todo para serem embarcados junto com 10973 chapas para um total de 6 clientes.</a:t>
          </a:r>
          <a:endParaRPr lang="pt-BR" sz="1100"/>
        </a:p>
      </xdr:txBody>
    </xdr:sp>
    <xdr:clientData/>
  </xdr:twoCellAnchor>
  <xdr:twoCellAnchor>
    <xdr:from>
      <xdr:col>4</xdr:col>
      <xdr:colOff>809625</xdr:colOff>
      <xdr:row>1</xdr:row>
      <xdr:rowOff>83344</xdr:rowOff>
    </xdr:from>
    <xdr:to>
      <xdr:col>4</xdr:col>
      <xdr:colOff>2563150</xdr:colOff>
      <xdr:row>4</xdr:row>
      <xdr:rowOff>174643</xdr:rowOff>
    </xdr:to>
    <xdr:sp macro="" textlink="">
      <xdr:nvSpPr>
        <xdr:cNvPr id="6" name="Retângulo de cantos arredondados 5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2638425" y="264319"/>
          <a:ext cx="1753525" cy="6342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4</xdr:col>
      <xdr:colOff>1071563</xdr:colOff>
      <xdr:row>2</xdr:row>
      <xdr:rowOff>28575</xdr:rowOff>
    </xdr:from>
    <xdr:to>
      <xdr:col>4</xdr:col>
      <xdr:colOff>2318233</xdr:colOff>
      <xdr:row>4</xdr:row>
      <xdr:rowOff>51554</xdr:rowOff>
    </xdr:to>
    <xdr:sp macro="" textlink="">
      <xdr:nvSpPr>
        <xdr:cNvPr id="7" name="Seta para a esquerda 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2900363" y="390525"/>
          <a:ext cx="1246670" cy="384929"/>
        </a:xfrm>
        <a:prstGeom prst="lef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2638425</xdr:colOff>
      <xdr:row>1</xdr:row>
      <xdr:rowOff>83344</xdr:rowOff>
    </xdr:from>
    <xdr:to>
      <xdr:col>5</xdr:col>
      <xdr:colOff>1198694</xdr:colOff>
      <xdr:row>4</xdr:row>
      <xdr:rowOff>174643</xdr:rowOff>
    </xdr:to>
    <xdr:sp macro="" textlink="">
      <xdr:nvSpPr>
        <xdr:cNvPr id="9" name="Retângulo de cantos arredondados 62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B5559791-BC4A-4FFE-B2DD-0A3D9A1C3B97}"/>
            </a:ext>
          </a:extLst>
        </xdr:cNvPr>
        <xdr:cNvSpPr/>
      </xdr:nvSpPr>
      <xdr:spPr>
        <a:xfrm>
          <a:off x="4467225" y="264319"/>
          <a:ext cx="1817819" cy="6342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800"/>
        </a:p>
      </xdr:txBody>
    </xdr:sp>
    <xdr:clientData/>
  </xdr:twoCellAnchor>
  <xdr:twoCellAnchor>
    <xdr:from>
      <xdr:col>4</xdr:col>
      <xdr:colOff>2886075</xdr:colOff>
      <xdr:row>2</xdr:row>
      <xdr:rowOff>28575</xdr:rowOff>
    </xdr:from>
    <xdr:to>
      <xdr:col>5</xdr:col>
      <xdr:colOff>920544</xdr:colOff>
      <xdr:row>4</xdr:row>
      <xdr:rowOff>54868</xdr:rowOff>
    </xdr:to>
    <xdr:sp macro="" textlink="">
      <xdr:nvSpPr>
        <xdr:cNvPr id="10" name="Seta para a direita 6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7E9AAAFD-BCB8-4F2B-ADB2-893AE4EBB3C5}"/>
            </a:ext>
          </a:extLst>
        </xdr:cNvPr>
        <xdr:cNvSpPr/>
      </xdr:nvSpPr>
      <xdr:spPr>
        <a:xfrm>
          <a:off x="4714875" y="390525"/>
          <a:ext cx="1292019" cy="388243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120650</xdr:colOff>
      <xdr:row>0</xdr:row>
      <xdr:rowOff>38100</xdr:rowOff>
    </xdr:from>
    <xdr:to>
      <xdr:col>16</xdr:col>
      <xdr:colOff>50800</xdr:colOff>
      <xdr:row>11</xdr:row>
      <xdr:rowOff>377824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38100</xdr:rowOff>
    </xdr:from>
    <xdr:to>
      <xdr:col>8</xdr:col>
      <xdr:colOff>990600</xdr:colOff>
      <xdr:row>10</xdr:row>
      <xdr:rowOff>368300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50801</xdr:colOff>
      <xdr:row>14</xdr:row>
      <xdr:rowOff>88900</xdr:rowOff>
    </xdr:from>
    <xdr:to>
      <xdr:col>9</xdr:col>
      <xdr:colOff>1</xdr:colOff>
      <xdr:row>25</xdr:row>
      <xdr:rowOff>104775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1460500</xdr:colOff>
      <xdr:row>28</xdr:row>
      <xdr:rowOff>114300</xdr:rowOff>
    </xdr:from>
    <xdr:to>
      <xdr:col>2</xdr:col>
      <xdr:colOff>609600</xdr:colOff>
      <xdr:row>33</xdr:row>
      <xdr:rowOff>50800</xdr:rowOff>
    </xdr:to>
    <xdr:sp macro="" textlink="">
      <xdr:nvSpPr>
        <xdr:cNvPr id="3" name="Retângulo: Cantos Arredondados 2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820C35C4-BA10-4561-A80F-3AE1CC9A1689}"/>
            </a:ext>
          </a:extLst>
        </xdr:cNvPr>
        <xdr:cNvSpPr/>
      </xdr:nvSpPr>
      <xdr:spPr>
        <a:xfrm>
          <a:off x="1460500" y="7645400"/>
          <a:ext cx="1930400" cy="825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Bahnschrift Condensed"/>
            </a:rPr>
            <a:t>INÍCIO</a:t>
          </a:r>
        </a:p>
      </xdr:txBody>
    </xdr:sp>
    <xdr:clientData/>
  </xdr:twoCellAnchor>
  <xdr:twoCellAnchor>
    <xdr:from>
      <xdr:col>2</xdr:col>
      <xdr:colOff>990600</xdr:colOff>
      <xdr:row>28</xdr:row>
      <xdr:rowOff>76200</xdr:rowOff>
    </xdr:from>
    <xdr:to>
      <xdr:col>12</xdr:col>
      <xdr:colOff>101600</xdr:colOff>
      <xdr:row>33</xdr:row>
      <xdr:rowOff>101600</xdr:rowOff>
    </xdr:to>
    <xdr:sp macro="" textlink="">
      <xdr:nvSpPr>
        <xdr:cNvPr id="5" name="CaixaDeTexto 4"/>
        <xdr:cNvSpPr txBox="1"/>
      </xdr:nvSpPr>
      <xdr:spPr>
        <a:xfrm>
          <a:off x="3683000" y="7708900"/>
          <a:ext cx="8026400" cy="977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rgbClr val="FF0000"/>
              </a:solidFill>
            </a:rPr>
            <a:t>DIGITAR APENAS EM:</a:t>
          </a:r>
        </a:p>
        <a:p>
          <a:r>
            <a:rPr lang="pt-BR" sz="1800">
              <a:solidFill>
                <a:srgbClr val="FF0000"/>
              </a:solidFill>
            </a:rPr>
            <a:t>CÉLULAS</a:t>
          </a:r>
          <a:r>
            <a:rPr lang="pt-BR" sz="1800" baseline="0">
              <a:solidFill>
                <a:srgbClr val="FF0000"/>
              </a:solidFill>
            </a:rPr>
            <a:t> AMARELAS DAS TABELAS: VELOCIDADE LA E VELOCIDADE LB EM M/MIN </a:t>
          </a:r>
          <a:endParaRPr lang="pt-BR" sz="18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7/Downloads/DADOS%20TCC%20REVISADO%2022-04-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7"/>
      <sheetName val="DADOS"/>
      <sheetName val="LAYOUT"/>
      <sheetName val="PINTURAS"/>
      <sheetName val="PRODUÇÃO"/>
      <sheetName val="SIMULAÇÃO 100%"/>
      <sheetName val="SIMULAÇÃO 80%"/>
      <sheetName val="ABC - ESTOQUE"/>
      <sheetName val="MODELAGEM"/>
      <sheetName val="AHP"/>
      <sheetName val="Plan1"/>
    </sheetNames>
    <sheetDataSet>
      <sheetData sheetId="0"/>
      <sheetData sheetId="1">
        <row r="40">
          <cell r="G40" t="str">
            <v>turnos</v>
          </cell>
        </row>
        <row r="41">
          <cell r="F41" t="str">
            <v xml:space="preserve">Produto A </v>
          </cell>
          <cell r="G41">
            <v>5</v>
          </cell>
        </row>
        <row r="42">
          <cell r="F42" t="str">
            <v xml:space="preserve">Fixadores A </v>
          </cell>
          <cell r="G42">
            <v>9</v>
          </cell>
        </row>
        <row r="43">
          <cell r="F43" t="str">
            <v xml:space="preserve">Produto B </v>
          </cell>
          <cell r="G43">
            <v>7</v>
          </cell>
        </row>
        <row r="44">
          <cell r="F44" t="str">
            <v xml:space="preserve">Fixadores B </v>
          </cell>
          <cell r="G44">
            <v>7</v>
          </cell>
        </row>
        <row r="45">
          <cell r="F45" t="str">
            <v xml:space="preserve">Produto C </v>
          </cell>
          <cell r="G45">
            <v>3</v>
          </cell>
        </row>
        <row r="46">
          <cell r="F46" t="str">
            <v xml:space="preserve">Fixadores C </v>
          </cell>
          <cell r="G46">
            <v>5</v>
          </cell>
        </row>
      </sheetData>
      <sheetData sheetId="2"/>
      <sheetData sheetId="3"/>
      <sheetData sheetId="4">
        <row r="3">
          <cell r="AP3" t="str">
            <v>REND. QTD. ESP.</v>
          </cell>
        </row>
      </sheetData>
      <sheetData sheetId="5">
        <row r="6">
          <cell r="D6">
            <v>13714.285714285714</v>
          </cell>
          <cell r="E6">
            <v>13702.564102564103</v>
          </cell>
          <cell r="F6">
            <v>13741.935483870968</v>
          </cell>
        </row>
        <row r="7">
          <cell r="D7">
            <v>1714.2857142857142</v>
          </cell>
          <cell r="E7">
            <v>1712.8205128205129</v>
          </cell>
          <cell r="F7">
            <v>1717.741935483871</v>
          </cell>
        </row>
        <row r="15">
          <cell r="D15">
            <v>3.7857142857142856</v>
          </cell>
        </row>
        <row r="17">
          <cell r="K17">
            <v>9.375E-2</v>
          </cell>
          <cell r="L17">
            <v>0.59687500000000004</v>
          </cell>
        </row>
        <row r="28">
          <cell r="D28">
            <v>3.7857142857142856</v>
          </cell>
          <cell r="E28">
            <v>3.7820512820512824</v>
          </cell>
          <cell r="F28">
            <v>3.794354838709677</v>
          </cell>
        </row>
        <row r="34">
          <cell r="D34" t="str">
            <v>22X2,1</v>
          </cell>
          <cell r="E34" t="str">
            <v>19X3,7</v>
          </cell>
          <cell r="F34" t="str">
            <v>11X2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2" name="Tabela2" displayName="Tabela2" ref="B2:G48" totalsRowShown="0" headerRowDxfId="4" tableBorderDxfId="3">
  <autoFilter ref="B2:G48"/>
  <tableColumns count="6">
    <tableColumn id="1" name="CARACTERÍSTICAS" dataDxfId="2"/>
    <tableColumn id="2" name="VALORES"/>
    <tableColumn id="3" name="LAYOUT A (MV)"/>
    <tableColumn id="4" name="LAYOUT B (MV)"/>
    <tableColumn id="5" name="LAYOUT A (NOVO)" dataDxfId="1" dataCellStyle="Moeda"/>
    <tableColumn id="6" name="LAYOUT B (NOVO)" dataDxfId="0" dataCellStyle="Moeda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7"/>
  </sheetPr>
  <dimension ref="E1"/>
  <sheetViews>
    <sheetView showGridLines="0" showRowColHeaders="0" tabSelected="1" zoomScale="80" zoomScaleNormal="80" workbookViewId="0"/>
  </sheetViews>
  <sheetFormatPr defaultRowHeight="15" x14ac:dyDescent="0.25"/>
  <cols>
    <col min="1" max="16384" width="9.140625" style="279"/>
  </cols>
  <sheetData>
    <row r="1" spans="5:5" x14ac:dyDescent="0.25">
      <c r="E1" s="352"/>
    </row>
  </sheetData>
  <sheetProtection algorithmName="SHA-512" hashValue="Rur58WP0RfM90s2ignC8PETUIirmXOoYjF14/8TwcWDNId3+dNVh26i90rFvkkRMxT6ywW9CfjXrpYD/ykGwHg==" saltValue="Dura/CsfuvfT5C4KysMRe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FF0000"/>
  </sheetPr>
  <dimension ref="A1"/>
  <sheetViews>
    <sheetView showGridLines="0" zoomScaleNormal="100" workbookViewId="0"/>
  </sheetViews>
  <sheetFormatPr defaultRowHeight="15" x14ac:dyDescent="0.25"/>
  <sheetData/>
  <sheetProtection algorithmName="SHA-512" hashValue="5SpmPrOnldCT3EsbGUTAa+jjuOJKhSmTwcLydNuWXazsP4ICP8A+EsAsk+qg0u0a6kp1qI3uAtiPb7MfIemUHw==" saltValue="B8hUJCLT0TzuXXJIeqQy2g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9"/>
  </sheetPr>
  <dimension ref="A1:Z31"/>
  <sheetViews>
    <sheetView showGridLines="0" zoomScale="90" zoomScaleNormal="90" workbookViewId="0">
      <selection activeCell="F12" sqref="F12"/>
    </sheetView>
  </sheetViews>
  <sheetFormatPr defaultRowHeight="15" x14ac:dyDescent="0.25"/>
  <cols>
    <col min="1" max="1" width="14.28515625" style="279" bestFit="1" customWidth="1"/>
    <col min="2" max="2" width="2" style="279" bestFit="1" customWidth="1"/>
    <col min="3" max="3" width="4.7109375" style="279" customWidth="1"/>
    <col min="4" max="6" width="9.140625" style="277"/>
    <col min="7" max="7" width="3.7109375" style="279" customWidth="1"/>
    <col min="8" max="10" width="9.140625" style="277"/>
    <col min="11" max="11" width="3.7109375" style="279" customWidth="1"/>
    <col min="12" max="14" width="9.140625" style="277"/>
    <col min="15" max="15" width="3.7109375" style="279" customWidth="1"/>
    <col min="16" max="19" width="9.140625" style="277"/>
    <col min="20" max="20" width="11.7109375" style="297" bestFit="1" customWidth="1"/>
    <col min="21" max="21" width="6" style="324" bestFit="1" customWidth="1"/>
    <col min="22" max="22" width="0.7109375" style="324" customWidth="1"/>
    <col min="23" max="23" width="6" style="324" bestFit="1" customWidth="1"/>
    <col min="24" max="24" width="1.5703125" style="279" bestFit="1" customWidth="1"/>
    <col min="25" max="25" width="9.140625" style="279"/>
    <col min="26" max="16384" width="9.140625" style="277"/>
  </cols>
  <sheetData>
    <row r="1" spans="1:26" s="279" customFormat="1" x14ac:dyDescent="0.25">
      <c r="T1" s="297"/>
      <c r="U1" s="324"/>
      <c r="V1" s="324"/>
      <c r="W1" s="324"/>
    </row>
    <row r="2" spans="1:26" s="279" customFormat="1" x14ac:dyDescent="0.25">
      <c r="T2" s="297"/>
      <c r="U2" s="324"/>
      <c r="V2" s="324"/>
      <c r="W2" s="324"/>
    </row>
    <row r="3" spans="1:26" s="279" customFormat="1" x14ac:dyDescent="0.25">
      <c r="T3" s="297"/>
      <c r="U3" s="324"/>
      <c r="V3" s="324"/>
      <c r="W3" s="324"/>
    </row>
    <row r="4" spans="1:26" s="279" customFormat="1" x14ac:dyDescent="0.25">
      <c r="T4" s="297"/>
      <c r="U4" s="324"/>
      <c r="V4" s="324"/>
      <c r="W4" s="324"/>
    </row>
    <row r="5" spans="1:26" s="279" customFormat="1" x14ac:dyDescent="0.25">
      <c r="T5" s="297"/>
      <c r="U5" s="324"/>
      <c r="V5" s="324"/>
      <c r="W5" s="324"/>
    </row>
    <row r="6" spans="1:26" x14ac:dyDescent="0.25">
      <c r="D6" s="355" t="s">
        <v>0</v>
      </c>
      <c r="E6" s="355"/>
      <c r="F6" s="355"/>
      <c r="G6" s="352"/>
      <c r="H6" s="355" t="s">
        <v>1</v>
      </c>
      <c r="I6" s="355"/>
      <c r="J6" s="355"/>
      <c r="L6" s="355" t="s">
        <v>2</v>
      </c>
      <c r="M6" s="355"/>
      <c r="N6" s="355"/>
      <c r="P6" s="356" t="s">
        <v>3</v>
      </c>
      <c r="Q6" s="357"/>
      <c r="R6" s="357"/>
      <c r="S6" s="358"/>
      <c r="Z6" s="279"/>
    </row>
    <row r="7" spans="1:26" x14ac:dyDescent="0.25">
      <c r="A7" s="288" t="s">
        <v>274</v>
      </c>
      <c r="B7" s="288">
        <v>1</v>
      </c>
      <c r="D7" s="342" t="s">
        <v>4</v>
      </c>
      <c r="E7" s="342" t="s">
        <v>5</v>
      </c>
      <c r="F7" s="342" t="s">
        <v>6</v>
      </c>
      <c r="H7" s="342" t="s">
        <v>4</v>
      </c>
      <c r="I7" s="342" t="s">
        <v>5</v>
      </c>
      <c r="J7" s="342" t="s">
        <v>6</v>
      </c>
      <c r="L7" s="342" t="s">
        <v>4</v>
      </c>
      <c r="M7" s="342" t="s">
        <v>5</v>
      </c>
      <c r="N7" s="342" t="s">
        <v>6</v>
      </c>
      <c r="P7" s="342" t="s">
        <v>4</v>
      </c>
      <c r="Q7" s="342" t="s">
        <v>5</v>
      </c>
      <c r="R7" s="342" t="s">
        <v>6</v>
      </c>
      <c r="S7" s="342" t="s">
        <v>7</v>
      </c>
      <c r="T7" s="298" t="s">
        <v>363</v>
      </c>
      <c r="U7" s="299">
        <f>S8</f>
        <v>0.83333333333333337</v>
      </c>
      <c r="V7" s="300" t="s">
        <v>364</v>
      </c>
      <c r="W7" s="299">
        <f>S9</f>
        <v>0.16666666666666669</v>
      </c>
      <c r="X7" s="298" t="s">
        <v>365</v>
      </c>
      <c r="Z7" s="279"/>
    </row>
    <row r="8" spans="1:26" x14ac:dyDescent="0.25">
      <c r="A8" s="288" t="s">
        <v>373</v>
      </c>
      <c r="B8" s="288">
        <v>2</v>
      </c>
      <c r="D8" s="342" t="s">
        <v>5</v>
      </c>
      <c r="E8" s="284">
        <v>1</v>
      </c>
      <c r="F8" s="353">
        <v>5</v>
      </c>
      <c r="G8" s="349"/>
      <c r="H8" s="342" t="s">
        <v>5</v>
      </c>
      <c r="I8" s="284">
        <f>E8</f>
        <v>1</v>
      </c>
      <c r="J8" s="345">
        <f>F8</f>
        <v>5</v>
      </c>
      <c r="L8" s="303" t="s">
        <v>5</v>
      </c>
      <c r="M8" s="294">
        <f>I8/I10</f>
        <v>0.83333333333333337</v>
      </c>
      <c r="N8" s="294">
        <f>J8/J10</f>
        <v>0.83333333333333337</v>
      </c>
      <c r="P8" s="294" t="s">
        <v>5</v>
      </c>
      <c r="Q8" s="346">
        <f>M8</f>
        <v>0.83333333333333337</v>
      </c>
      <c r="R8" s="346">
        <f>N8</f>
        <v>0.83333333333333337</v>
      </c>
      <c r="S8" s="346">
        <f>AVERAGE(Q8:R8)</f>
        <v>0.83333333333333337</v>
      </c>
      <c r="T8" s="301"/>
      <c r="U8" s="302"/>
      <c r="V8" s="302"/>
      <c r="W8" s="302"/>
      <c r="Z8" s="279"/>
    </row>
    <row r="9" spans="1:26" x14ac:dyDescent="0.25">
      <c r="A9" s="288" t="s">
        <v>371</v>
      </c>
      <c r="B9" s="288">
        <v>3</v>
      </c>
      <c r="D9" s="342" t="s">
        <v>6</v>
      </c>
      <c r="E9" s="343">
        <f>IF(F8=2,1/2,IF(F8=3,1/3,IF(F8=4,1/4,IF(F8=5,1/5,IF(F8=6,1/6,IF(F8=7,1/7,IF(F8=8,1/8,IF(F8=9,1/9,IF(F8=1/2,2,IF(F8=1/3,3,IF(F8=1/4,4,IF(F8=1/5,5,IF(F8=1/6,6,IF(F8=1/7,7,IF(F8=1/8,8,IF(F8=1/9,9,IF(F8=1,1,1)))))))))))))))))</f>
        <v>0.2</v>
      </c>
      <c r="F9" s="284">
        <v>1</v>
      </c>
      <c r="G9" s="349"/>
      <c r="H9" s="342" t="s">
        <v>6</v>
      </c>
      <c r="I9" s="343">
        <f>E9</f>
        <v>0.2</v>
      </c>
      <c r="J9" s="284">
        <f>F9</f>
        <v>1</v>
      </c>
      <c r="L9" s="303" t="s">
        <v>6</v>
      </c>
      <c r="M9" s="294">
        <f>I9/I10</f>
        <v>0.16666666666666669</v>
      </c>
      <c r="N9" s="294">
        <f>J9/J10</f>
        <v>0.16666666666666666</v>
      </c>
      <c r="P9" s="294" t="s">
        <v>6</v>
      </c>
      <c r="Q9" s="346">
        <f>M9</f>
        <v>0.16666666666666669</v>
      </c>
      <c r="R9" s="346">
        <f>N9</f>
        <v>0.16666666666666666</v>
      </c>
      <c r="S9" s="346">
        <f>AVERAGE(Q9:R9)</f>
        <v>0.16666666666666669</v>
      </c>
      <c r="T9" s="301"/>
      <c r="U9" s="302"/>
      <c r="V9" s="302"/>
      <c r="W9" s="302"/>
      <c r="Z9" s="279"/>
    </row>
    <row r="10" spans="1:26" s="279" customFormat="1" x14ac:dyDescent="0.25">
      <c r="A10" s="288" t="s">
        <v>373</v>
      </c>
      <c r="B10" s="288">
        <v>4</v>
      </c>
      <c r="D10" s="297"/>
      <c r="E10" s="297"/>
      <c r="F10" s="297"/>
      <c r="G10" s="297"/>
      <c r="H10" s="297"/>
      <c r="I10" s="344">
        <f>SUM(I8:I9)</f>
        <v>1.2</v>
      </c>
      <c r="J10" s="344">
        <f>SUM(J8:J9)</f>
        <v>6</v>
      </c>
      <c r="L10" s="297"/>
      <c r="M10" s="347"/>
      <c r="N10" s="347"/>
      <c r="P10" s="347"/>
      <c r="Q10" s="347"/>
      <c r="R10" s="347"/>
      <c r="S10" s="347"/>
      <c r="T10" s="301"/>
      <c r="U10" s="302"/>
      <c r="V10" s="302"/>
      <c r="W10" s="302"/>
    </row>
    <row r="11" spans="1:26" x14ac:dyDescent="0.25">
      <c r="A11" s="288" t="s">
        <v>296</v>
      </c>
      <c r="B11" s="288">
        <v>5</v>
      </c>
      <c r="D11" s="342" t="s">
        <v>8</v>
      </c>
      <c r="E11" s="342" t="s">
        <v>5</v>
      </c>
      <c r="F11" s="342" t="s">
        <v>6</v>
      </c>
      <c r="H11" s="342" t="s">
        <v>8</v>
      </c>
      <c r="I11" s="342" t="s">
        <v>5</v>
      </c>
      <c r="J11" s="342" t="s">
        <v>6</v>
      </c>
      <c r="L11" s="342" t="s">
        <v>8</v>
      </c>
      <c r="M11" s="348" t="s">
        <v>5</v>
      </c>
      <c r="N11" s="348" t="s">
        <v>6</v>
      </c>
      <c r="P11" s="348" t="s">
        <v>8</v>
      </c>
      <c r="Q11" s="348" t="s">
        <v>5</v>
      </c>
      <c r="R11" s="348" t="s">
        <v>6</v>
      </c>
      <c r="S11" s="348" t="s">
        <v>7</v>
      </c>
      <c r="T11" s="298" t="s">
        <v>366</v>
      </c>
      <c r="U11" s="299">
        <f>S12</f>
        <v>0.83333333333333337</v>
      </c>
      <c r="V11" s="300" t="s">
        <v>364</v>
      </c>
      <c r="W11" s="299">
        <f>S13</f>
        <v>0.16666666666666669</v>
      </c>
      <c r="X11" s="298" t="s">
        <v>365</v>
      </c>
      <c r="Z11" s="279"/>
    </row>
    <row r="12" spans="1:26" x14ac:dyDescent="0.25">
      <c r="A12" s="288" t="s">
        <v>373</v>
      </c>
      <c r="B12" s="288">
        <v>6</v>
      </c>
      <c r="D12" s="342" t="s">
        <v>5</v>
      </c>
      <c r="E12" s="284">
        <v>1</v>
      </c>
      <c r="F12" s="353">
        <v>5</v>
      </c>
      <c r="G12" s="349"/>
      <c r="H12" s="342" t="s">
        <v>5</v>
      </c>
      <c r="I12" s="284">
        <f>E12</f>
        <v>1</v>
      </c>
      <c r="J12" s="345">
        <f>F12</f>
        <v>5</v>
      </c>
      <c r="L12" s="303" t="s">
        <v>5</v>
      </c>
      <c r="M12" s="346">
        <f>I12/I14</f>
        <v>0.83333333333333337</v>
      </c>
      <c r="N12" s="346">
        <f>J12/J14</f>
        <v>0.83333333333333337</v>
      </c>
      <c r="P12" s="294" t="s">
        <v>5</v>
      </c>
      <c r="Q12" s="346">
        <f>M12</f>
        <v>0.83333333333333337</v>
      </c>
      <c r="R12" s="346">
        <f>N12</f>
        <v>0.83333333333333337</v>
      </c>
      <c r="S12" s="346">
        <f>AVERAGE(Q12:R12)</f>
        <v>0.83333333333333337</v>
      </c>
      <c r="T12" s="301"/>
      <c r="U12" s="302"/>
      <c r="V12" s="302"/>
      <c r="W12" s="302"/>
      <c r="Z12" s="279"/>
    </row>
    <row r="13" spans="1:26" x14ac:dyDescent="0.25">
      <c r="A13" s="288" t="s">
        <v>300</v>
      </c>
      <c r="B13" s="288">
        <v>7</v>
      </c>
      <c r="D13" s="342" t="s">
        <v>6</v>
      </c>
      <c r="E13" s="343">
        <f>IF(F12=2,1/2,IF(F12=3,1/3,IF(F12=4,1/4,IF(F12=5,1/5,IF(F12=6,1/6,IF(F12=7,1/7,IF(F12=8,1/8,IF(F12=9,1/9,IF(F12=1/2,2,IF(F12=1/3,3,IF(F12=1/4,4,IF(F12=1/5,5,IF(F12=1/6,6,IF(F12=1/7,7,IF(F12=1/8,8,IF(F12=1/9,9,IF(F12=1,1,1)))))))))))))))))</f>
        <v>0.2</v>
      </c>
      <c r="F13" s="284">
        <v>1</v>
      </c>
      <c r="G13" s="349"/>
      <c r="H13" s="342" t="s">
        <v>6</v>
      </c>
      <c r="I13" s="343">
        <f>E13</f>
        <v>0.2</v>
      </c>
      <c r="J13" s="284">
        <f>F13</f>
        <v>1</v>
      </c>
      <c r="L13" s="303" t="s">
        <v>6</v>
      </c>
      <c r="M13" s="346">
        <f>I13/I14</f>
        <v>0.16666666666666669</v>
      </c>
      <c r="N13" s="346">
        <f>J13/J14</f>
        <v>0.16666666666666666</v>
      </c>
      <c r="P13" s="294" t="s">
        <v>6</v>
      </c>
      <c r="Q13" s="346">
        <f>M13</f>
        <v>0.16666666666666669</v>
      </c>
      <c r="R13" s="346">
        <f>N13</f>
        <v>0.16666666666666666</v>
      </c>
      <c r="S13" s="346">
        <f>AVERAGE(Q13:R13)</f>
        <v>0.16666666666666669</v>
      </c>
      <c r="T13" s="301"/>
      <c r="U13" s="302"/>
      <c r="V13" s="302"/>
      <c r="W13" s="302"/>
      <c r="Z13" s="279"/>
    </row>
    <row r="14" spans="1:26" s="279" customFormat="1" x14ac:dyDescent="0.25">
      <c r="A14" s="288" t="s">
        <v>373</v>
      </c>
      <c r="B14" s="288">
        <v>8</v>
      </c>
      <c r="D14" s="297"/>
      <c r="E14" s="297"/>
      <c r="F14" s="297"/>
      <c r="G14" s="297"/>
      <c r="H14" s="297"/>
      <c r="I14" s="344">
        <f>SUM(I12:I13)</f>
        <v>1.2</v>
      </c>
      <c r="J14" s="344">
        <f>SUM(J12:J13)</f>
        <v>6</v>
      </c>
      <c r="L14" s="297"/>
      <c r="M14" s="347"/>
      <c r="N14" s="347"/>
      <c r="P14" s="347"/>
      <c r="Q14" s="347"/>
      <c r="R14" s="347"/>
      <c r="S14" s="347"/>
      <c r="T14" s="301"/>
      <c r="U14" s="302"/>
      <c r="V14" s="302"/>
      <c r="W14" s="302"/>
    </row>
    <row r="15" spans="1:26" x14ac:dyDescent="0.25">
      <c r="A15" s="288" t="s">
        <v>372</v>
      </c>
      <c r="B15" s="288">
        <v>9</v>
      </c>
      <c r="D15" s="342" t="s">
        <v>9</v>
      </c>
      <c r="E15" s="342" t="s">
        <v>5</v>
      </c>
      <c r="F15" s="342" t="s">
        <v>6</v>
      </c>
      <c r="H15" s="342" t="s">
        <v>9</v>
      </c>
      <c r="I15" s="342" t="s">
        <v>5</v>
      </c>
      <c r="J15" s="342" t="s">
        <v>6</v>
      </c>
      <c r="L15" s="342" t="s">
        <v>9</v>
      </c>
      <c r="M15" s="348" t="s">
        <v>5</v>
      </c>
      <c r="N15" s="348" t="s">
        <v>6</v>
      </c>
      <c r="P15" s="348" t="s">
        <v>9</v>
      </c>
      <c r="Q15" s="348" t="s">
        <v>5</v>
      </c>
      <c r="R15" s="348" t="s">
        <v>6</v>
      </c>
      <c r="S15" s="348" t="s">
        <v>7</v>
      </c>
      <c r="T15" s="298" t="s">
        <v>367</v>
      </c>
      <c r="U15" s="299">
        <f>S16</f>
        <v>0.2</v>
      </c>
      <c r="V15" s="300" t="s">
        <v>364</v>
      </c>
      <c r="W15" s="299">
        <f>S17</f>
        <v>0.8</v>
      </c>
      <c r="X15" s="298" t="s">
        <v>365</v>
      </c>
      <c r="Z15" s="279"/>
    </row>
    <row r="16" spans="1:26" x14ac:dyDescent="0.25">
      <c r="D16" s="342" t="s">
        <v>5</v>
      </c>
      <c r="E16" s="284">
        <v>1</v>
      </c>
      <c r="F16" s="354">
        <v>0.25</v>
      </c>
      <c r="G16" s="349"/>
      <c r="H16" s="342" t="s">
        <v>5</v>
      </c>
      <c r="I16" s="284">
        <f>E16</f>
        <v>1</v>
      </c>
      <c r="J16" s="345">
        <f>F16</f>
        <v>0.25</v>
      </c>
      <c r="L16" s="303" t="s">
        <v>5</v>
      </c>
      <c r="M16" s="346">
        <f>I16/I18</f>
        <v>0.2</v>
      </c>
      <c r="N16" s="346">
        <f>J16/J18</f>
        <v>0.2</v>
      </c>
      <c r="P16" s="294" t="s">
        <v>5</v>
      </c>
      <c r="Q16" s="346">
        <f>M16</f>
        <v>0.2</v>
      </c>
      <c r="R16" s="346">
        <f>N16</f>
        <v>0.2</v>
      </c>
      <c r="S16" s="346">
        <f>AVERAGE(Q16:R16)</f>
        <v>0.2</v>
      </c>
      <c r="T16" s="301"/>
      <c r="U16" s="302"/>
      <c r="V16" s="302"/>
      <c r="W16" s="302"/>
      <c r="Z16" s="279"/>
    </row>
    <row r="17" spans="4:26" x14ac:dyDescent="0.25">
      <c r="D17" s="342" t="s">
        <v>6</v>
      </c>
      <c r="E17" s="343">
        <f>IF(F16=2,1/2,IF(F16=3,1/3,IF(F16=4,1/4,IF(F16=5,1/5,IF(F16=6,1/6,IF(F16=7,1/7,IF(F16=8,1/8,IF(F16=9,1/9,IF(F16=1/2,2,IF(F16=1/3,3,IF(F16=1/4,4,IF(F16=1/5,5,IF(F16=1/6,6,IF(F16=1/7,7,IF(F16=1/8,8,IF(F16=1/9,9,IF(F16=1,1,1)))))))))))))))))</f>
        <v>4</v>
      </c>
      <c r="F17" s="284">
        <v>1</v>
      </c>
      <c r="G17" s="349"/>
      <c r="H17" s="342" t="s">
        <v>6</v>
      </c>
      <c r="I17" s="343">
        <f>E17</f>
        <v>4</v>
      </c>
      <c r="J17" s="284">
        <f>F17</f>
        <v>1</v>
      </c>
      <c r="L17" s="303" t="s">
        <v>6</v>
      </c>
      <c r="M17" s="346">
        <f>I17/I18</f>
        <v>0.8</v>
      </c>
      <c r="N17" s="346">
        <f>J17/J18</f>
        <v>0.8</v>
      </c>
      <c r="P17" s="294" t="s">
        <v>6</v>
      </c>
      <c r="Q17" s="346">
        <f>M17</f>
        <v>0.8</v>
      </c>
      <c r="R17" s="346">
        <f>N17</f>
        <v>0.8</v>
      </c>
      <c r="S17" s="346">
        <f>AVERAGE(Q17:R17)</f>
        <v>0.8</v>
      </c>
      <c r="T17" s="301"/>
      <c r="U17" s="302"/>
      <c r="V17" s="302"/>
      <c r="W17" s="302"/>
      <c r="Z17" s="279"/>
    </row>
    <row r="18" spans="4:26" s="279" customFormat="1" x14ac:dyDescent="0.25">
      <c r="I18" s="344">
        <f>SUM(I16:I17)</f>
        <v>5</v>
      </c>
      <c r="J18" s="344">
        <f>SUM(J16:J17)</f>
        <v>1.25</v>
      </c>
      <c r="L18" s="297"/>
      <c r="M18" s="347"/>
      <c r="N18" s="347"/>
      <c r="P18" s="347"/>
      <c r="Q18" s="347"/>
      <c r="R18" s="347"/>
      <c r="S18" s="347"/>
      <c r="T18" s="301"/>
      <c r="U18" s="302"/>
      <c r="V18" s="302"/>
      <c r="W18" s="302"/>
    </row>
    <row r="19" spans="4:26" x14ac:dyDescent="0.25">
      <c r="D19" s="342" t="s">
        <v>10</v>
      </c>
      <c r="E19" s="342" t="s">
        <v>5</v>
      </c>
      <c r="F19" s="342" t="s">
        <v>6</v>
      </c>
      <c r="H19" s="342" t="s">
        <v>10</v>
      </c>
      <c r="I19" s="342" t="s">
        <v>5</v>
      </c>
      <c r="J19" s="342" t="s">
        <v>6</v>
      </c>
      <c r="L19" s="342" t="s">
        <v>10</v>
      </c>
      <c r="M19" s="348" t="s">
        <v>5</v>
      </c>
      <c r="N19" s="348" t="s">
        <v>6</v>
      </c>
      <c r="P19" s="348" t="s">
        <v>10</v>
      </c>
      <c r="Q19" s="348" t="s">
        <v>5</v>
      </c>
      <c r="R19" s="348" t="s">
        <v>6</v>
      </c>
      <c r="S19" s="348" t="s">
        <v>7</v>
      </c>
      <c r="T19" s="298" t="s">
        <v>368</v>
      </c>
      <c r="U19" s="299">
        <f>S20</f>
        <v>0.1</v>
      </c>
      <c r="V19" s="300" t="s">
        <v>364</v>
      </c>
      <c r="W19" s="299">
        <f>S21</f>
        <v>0.89999999999999991</v>
      </c>
      <c r="X19" s="298" t="s">
        <v>365</v>
      </c>
      <c r="Z19" s="279"/>
    </row>
    <row r="20" spans="4:26" x14ac:dyDescent="0.25">
      <c r="D20" s="342" t="s">
        <v>5</v>
      </c>
      <c r="E20" s="284">
        <v>1</v>
      </c>
      <c r="F20" s="354">
        <v>0.1111111111111111</v>
      </c>
      <c r="G20" s="344"/>
      <c r="H20" s="342" t="s">
        <v>5</v>
      </c>
      <c r="I20" s="284">
        <f>E20</f>
        <v>1</v>
      </c>
      <c r="J20" s="345">
        <f>F20</f>
        <v>0.1111111111111111</v>
      </c>
      <c r="L20" s="303" t="s">
        <v>5</v>
      </c>
      <c r="M20" s="346">
        <f>I20/I22</f>
        <v>0.1</v>
      </c>
      <c r="N20" s="346">
        <f>J20/J22</f>
        <v>9.9999999999999992E-2</v>
      </c>
      <c r="P20" s="294" t="s">
        <v>5</v>
      </c>
      <c r="Q20" s="346">
        <f>M20</f>
        <v>0.1</v>
      </c>
      <c r="R20" s="346">
        <f>N20</f>
        <v>9.9999999999999992E-2</v>
      </c>
      <c r="S20" s="346">
        <f>AVERAGE(Q20:R20)</f>
        <v>0.1</v>
      </c>
      <c r="T20" s="301"/>
      <c r="U20" s="302"/>
      <c r="V20" s="302"/>
      <c r="W20" s="302"/>
      <c r="Z20" s="279"/>
    </row>
    <row r="21" spans="4:26" x14ac:dyDescent="0.25">
      <c r="D21" s="342" t="s">
        <v>6</v>
      </c>
      <c r="E21" s="343">
        <f>IF(F20=2,1/2,IF(F20=3,1/3,IF(F20=4,1/4,IF(F20=5,1/5,IF(F20=6,1/6,IF(F20=7,1/7,IF(F20=8,1/8,IF(F20=9,1/9,IF(F20=1/2,2,IF(F20=1/3,3,IF(F20=1/4,4,IF(F20=1/5,5,IF(F20=1/6,6,IF(F20=1/7,7,IF(F20=1/8,8,IF(F20=1/9,9,IF(F20=1,1,1)))))))))))))))))</f>
        <v>9</v>
      </c>
      <c r="F21" s="284">
        <v>1</v>
      </c>
      <c r="G21" s="349"/>
      <c r="H21" s="342" t="s">
        <v>6</v>
      </c>
      <c r="I21" s="343">
        <f>E21</f>
        <v>9</v>
      </c>
      <c r="J21" s="284">
        <f>F21</f>
        <v>1</v>
      </c>
      <c r="L21" s="303" t="s">
        <v>6</v>
      </c>
      <c r="M21" s="346">
        <f>I21/I22</f>
        <v>0.9</v>
      </c>
      <c r="N21" s="346">
        <f>J21/J22</f>
        <v>0.89999999999999991</v>
      </c>
      <c r="P21" s="294" t="s">
        <v>6</v>
      </c>
      <c r="Q21" s="346">
        <f>M21</f>
        <v>0.9</v>
      </c>
      <c r="R21" s="346">
        <f>N21</f>
        <v>0.89999999999999991</v>
      </c>
      <c r="S21" s="346">
        <f>AVERAGE(Q21:R21)</f>
        <v>0.89999999999999991</v>
      </c>
      <c r="T21" s="301"/>
      <c r="U21" s="302"/>
      <c r="V21" s="302"/>
      <c r="W21" s="302"/>
      <c r="Z21" s="279"/>
    </row>
    <row r="22" spans="4:26" s="279" customFormat="1" x14ac:dyDescent="0.25">
      <c r="I22" s="344">
        <f>SUM(I20:I21)</f>
        <v>10</v>
      </c>
      <c r="J22" s="344">
        <f>SUM(J20:J21)</f>
        <v>1.1111111111111112</v>
      </c>
      <c r="L22" s="297"/>
      <c r="M22" s="347"/>
      <c r="N22" s="347"/>
      <c r="P22" s="347"/>
      <c r="Q22" s="347"/>
      <c r="R22" s="347"/>
      <c r="S22" s="347"/>
      <c r="T22" s="301"/>
      <c r="U22" s="302"/>
      <c r="V22" s="302"/>
      <c r="W22" s="302"/>
    </row>
    <row r="23" spans="4:26" x14ac:dyDescent="0.25">
      <c r="D23" s="342" t="s">
        <v>11</v>
      </c>
      <c r="E23" s="342" t="s">
        <v>5</v>
      </c>
      <c r="F23" s="342" t="s">
        <v>6</v>
      </c>
      <c r="H23" s="342" t="s">
        <v>11</v>
      </c>
      <c r="I23" s="342" t="s">
        <v>5</v>
      </c>
      <c r="J23" s="342" t="s">
        <v>6</v>
      </c>
      <c r="L23" s="342" t="s">
        <v>11</v>
      </c>
      <c r="M23" s="348" t="s">
        <v>5</v>
      </c>
      <c r="N23" s="348" t="s">
        <v>6</v>
      </c>
      <c r="P23" s="348" t="s">
        <v>11</v>
      </c>
      <c r="Q23" s="348" t="s">
        <v>5</v>
      </c>
      <c r="R23" s="348" t="s">
        <v>6</v>
      </c>
      <c r="S23" s="348" t="s">
        <v>7</v>
      </c>
      <c r="T23" s="298" t="s">
        <v>369</v>
      </c>
      <c r="U23" s="299">
        <f>S24</f>
        <v>0.83333333333333337</v>
      </c>
      <c r="V23" s="300" t="s">
        <v>364</v>
      </c>
      <c r="W23" s="299">
        <f>S25</f>
        <v>0.16666666666666669</v>
      </c>
      <c r="X23" s="298" t="s">
        <v>365</v>
      </c>
      <c r="Z23" s="279"/>
    </row>
    <row r="24" spans="4:26" x14ac:dyDescent="0.25">
      <c r="D24" s="342" t="s">
        <v>5</v>
      </c>
      <c r="E24" s="284">
        <v>1</v>
      </c>
      <c r="F24" s="353">
        <v>5</v>
      </c>
      <c r="G24" s="349"/>
      <c r="H24" s="342" t="s">
        <v>5</v>
      </c>
      <c r="I24" s="284">
        <f>E24</f>
        <v>1</v>
      </c>
      <c r="J24" s="345">
        <f>F24</f>
        <v>5</v>
      </c>
      <c r="L24" s="303" t="s">
        <v>5</v>
      </c>
      <c r="M24" s="346">
        <f>I24/I26</f>
        <v>0.83333333333333337</v>
      </c>
      <c r="N24" s="346">
        <f>J24/J26</f>
        <v>0.83333333333333337</v>
      </c>
      <c r="P24" s="294" t="s">
        <v>5</v>
      </c>
      <c r="Q24" s="346">
        <f>M24</f>
        <v>0.83333333333333337</v>
      </c>
      <c r="R24" s="346">
        <f>N24</f>
        <v>0.83333333333333337</v>
      </c>
      <c r="S24" s="346">
        <f>AVERAGE(Q24:R24)</f>
        <v>0.83333333333333337</v>
      </c>
      <c r="T24" s="301"/>
      <c r="U24" s="302"/>
      <c r="V24" s="302"/>
      <c r="W24" s="302"/>
      <c r="Z24" s="279"/>
    </row>
    <row r="25" spans="4:26" x14ac:dyDescent="0.25">
      <c r="D25" s="342" t="s">
        <v>6</v>
      </c>
      <c r="E25" s="343">
        <f>IF(F24=2,1/2,IF(F24=3,1/3,IF(F24=4,1/4,IF(F24=5,1/5,IF(F24=6,1/6,IF(F24=7,1/7,IF(F24=8,1/8,IF(F24=9,1/9,IF(F24=1/2,2,IF(F24=1/3,3,IF(F24=1/4,4,IF(F24=1/5,5,IF(F24=1/6,6,IF(F24=1/7,7,IF(F24=1/8,8,IF(F24=1/9,9,IF(F24=1,1,1)))))))))))))))))</f>
        <v>0.2</v>
      </c>
      <c r="F25" s="284">
        <v>1</v>
      </c>
      <c r="G25" s="349"/>
      <c r="H25" s="342" t="s">
        <v>6</v>
      </c>
      <c r="I25" s="343">
        <f>E25</f>
        <v>0.2</v>
      </c>
      <c r="J25" s="284">
        <f>F25</f>
        <v>1</v>
      </c>
      <c r="L25" s="303" t="s">
        <v>6</v>
      </c>
      <c r="M25" s="346">
        <f>I25/I26</f>
        <v>0.16666666666666669</v>
      </c>
      <c r="N25" s="346">
        <f>J25/J26</f>
        <v>0.16666666666666666</v>
      </c>
      <c r="P25" s="294" t="s">
        <v>6</v>
      </c>
      <c r="Q25" s="346">
        <f>M25</f>
        <v>0.16666666666666669</v>
      </c>
      <c r="R25" s="346">
        <f>N25</f>
        <v>0.16666666666666666</v>
      </c>
      <c r="S25" s="346">
        <f>AVERAGE(Q25:R25)</f>
        <v>0.16666666666666669</v>
      </c>
      <c r="T25" s="301"/>
      <c r="U25" s="302"/>
      <c r="V25" s="302"/>
      <c r="W25" s="302"/>
      <c r="Z25" s="279"/>
    </row>
    <row r="26" spans="4:26" s="279" customFormat="1" x14ac:dyDescent="0.25">
      <c r="I26" s="344">
        <f>SUM(I24:I25)</f>
        <v>1.2</v>
      </c>
      <c r="J26" s="344">
        <f>SUM(J24:J25)</f>
        <v>6</v>
      </c>
      <c r="M26" s="349"/>
      <c r="N26" s="349"/>
      <c r="P26" s="349"/>
      <c r="Q26" s="349"/>
      <c r="R26" s="350"/>
      <c r="S26" s="350"/>
      <c r="T26" s="301"/>
      <c r="U26" s="302"/>
      <c r="V26" s="302"/>
      <c r="W26" s="302"/>
    </row>
    <row r="27" spans="4:26" x14ac:dyDescent="0.25">
      <c r="D27" s="342" t="s">
        <v>12</v>
      </c>
      <c r="E27" s="342" t="s">
        <v>5</v>
      </c>
      <c r="F27" s="342" t="s">
        <v>6</v>
      </c>
      <c r="H27" s="342" t="s">
        <v>12</v>
      </c>
      <c r="I27" s="342" t="s">
        <v>5</v>
      </c>
      <c r="J27" s="342" t="s">
        <v>6</v>
      </c>
      <c r="L27" s="342" t="s">
        <v>12</v>
      </c>
      <c r="M27" s="348" t="s">
        <v>5</v>
      </c>
      <c r="N27" s="348" t="s">
        <v>6</v>
      </c>
      <c r="P27" s="348" t="s">
        <v>12</v>
      </c>
      <c r="Q27" s="348" t="s">
        <v>5</v>
      </c>
      <c r="R27" s="348" t="s">
        <v>6</v>
      </c>
      <c r="S27" s="348" t="s">
        <v>7</v>
      </c>
      <c r="T27" s="298" t="s">
        <v>370</v>
      </c>
      <c r="U27" s="299">
        <f>S28</f>
        <v>0.5</v>
      </c>
      <c r="V27" s="300" t="s">
        <v>364</v>
      </c>
      <c r="W27" s="299">
        <f>S29</f>
        <v>0.5</v>
      </c>
      <c r="X27" s="298" t="s">
        <v>365</v>
      </c>
      <c r="Z27" s="279"/>
    </row>
    <row r="28" spans="4:26" x14ac:dyDescent="0.25">
      <c r="D28" s="342" t="s">
        <v>5</v>
      </c>
      <c r="E28" s="284">
        <v>1</v>
      </c>
      <c r="F28" s="353">
        <v>1</v>
      </c>
      <c r="G28" s="349"/>
      <c r="H28" s="342" t="s">
        <v>5</v>
      </c>
      <c r="I28" s="284">
        <f>E28</f>
        <v>1</v>
      </c>
      <c r="J28" s="345">
        <f>F28</f>
        <v>1</v>
      </c>
      <c r="L28" s="303" t="s">
        <v>5</v>
      </c>
      <c r="M28" s="346">
        <f>I28/I30</f>
        <v>0.5</v>
      </c>
      <c r="N28" s="346">
        <f>J28/J30</f>
        <v>0.5</v>
      </c>
      <c r="P28" s="294" t="s">
        <v>5</v>
      </c>
      <c r="Q28" s="346">
        <f>M28</f>
        <v>0.5</v>
      </c>
      <c r="R28" s="346">
        <f>N28</f>
        <v>0.5</v>
      </c>
      <c r="S28" s="346">
        <f>AVERAGE(Q28:R28)</f>
        <v>0.5</v>
      </c>
      <c r="Z28" s="279"/>
    </row>
    <row r="29" spans="4:26" x14ac:dyDescent="0.25">
      <c r="D29" s="342" t="s">
        <v>6</v>
      </c>
      <c r="E29" s="343">
        <f>IF(F28=2,1/2,IF(F28=3,1/3,IF(F28=4,1/4,IF(F28=5,1/5,IF(F28=6,1/6,IF(F28=7,1/7,IF(F28=8,1/8,IF(F28=9,1/9,IF(F28=1/2,2,IF(F28=1/3,3,IF(F28=1/4,4,IF(F28=1/5,5,IF(F28=1/6,6,IF(F28=1/7,7,IF(F28=1/8,8,IF(F28=1/9,9,IF(F28=1,1,1)))))))))))))))))</f>
        <v>1</v>
      </c>
      <c r="F29" s="284">
        <v>1</v>
      </c>
      <c r="G29" s="349"/>
      <c r="H29" s="342" t="s">
        <v>6</v>
      </c>
      <c r="I29" s="343">
        <f>E29</f>
        <v>1</v>
      </c>
      <c r="J29" s="284">
        <f>F29</f>
        <v>1</v>
      </c>
      <c r="L29" s="303" t="s">
        <v>6</v>
      </c>
      <c r="M29" s="346">
        <f>I29/I30</f>
        <v>0.5</v>
      </c>
      <c r="N29" s="346">
        <f>J29/J30</f>
        <v>0.5</v>
      </c>
      <c r="P29" s="294" t="s">
        <v>6</v>
      </c>
      <c r="Q29" s="346">
        <f>M29</f>
        <v>0.5</v>
      </c>
      <c r="R29" s="346">
        <f>N29</f>
        <v>0.5</v>
      </c>
      <c r="S29" s="346">
        <f>AVERAGE(Q29:R29)</f>
        <v>0.5</v>
      </c>
      <c r="Z29" s="279"/>
    </row>
    <row r="30" spans="4:26" s="279" customFormat="1" x14ac:dyDescent="0.25">
      <c r="I30" s="344">
        <f>SUM(I28:I29)</f>
        <v>2</v>
      </c>
      <c r="J30" s="344">
        <f>SUM(J28:J29)</f>
        <v>2</v>
      </c>
      <c r="T30" s="297"/>
      <c r="U30" s="324"/>
      <c r="V30" s="324"/>
      <c r="W30" s="324"/>
    </row>
    <row r="31" spans="4:26" s="279" customFormat="1" x14ac:dyDescent="0.25">
      <c r="T31" s="297"/>
      <c r="U31" s="324"/>
      <c r="V31" s="324"/>
      <c r="W31" s="324"/>
    </row>
  </sheetData>
  <sheetProtection algorithmName="SHA-512" hashValue="p62q2FYpt50vk/z1C5MZIAVa+WlyZMQskti2lCWzYASy0ogF7CsXpYgfeGNhvjz0hPMItVgCydeSo0L2vw7BpQ==" saltValue="WuN/ppF8TJe2hL1u2NILBw==" spinCount="100000" sheet="1" objects="1" scenarios="1" selectLockedCells="1"/>
  <mergeCells count="4">
    <mergeCell ref="D6:F6"/>
    <mergeCell ref="H6:J6"/>
    <mergeCell ref="L6:N6"/>
    <mergeCell ref="P6:S6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FFFF00"/>
  </sheetPr>
  <dimension ref="E4:Z40"/>
  <sheetViews>
    <sheetView showGridLines="0" topLeftCell="E1" zoomScale="80" zoomScaleNormal="80" workbookViewId="0">
      <selection activeCell="J10" sqref="J10"/>
    </sheetView>
  </sheetViews>
  <sheetFormatPr defaultColWidth="8.85546875" defaultRowHeight="15" x14ac:dyDescent="0.25"/>
  <cols>
    <col min="1" max="1" width="4" style="277" customWidth="1"/>
    <col min="2" max="4" width="0" style="277" hidden="1" customWidth="1"/>
    <col min="5" max="5" width="14.85546875" style="277" bestFit="1" customWidth="1"/>
    <col min="6" max="6" width="14.140625" style="277" bestFit="1" customWidth="1"/>
    <col min="7" max="7" width="13.7109375" style="277" customWidth="1"/>
    <col min="8" max="8" width="16.42578125" style="277" customWidth="1"/>
    <col min="9" max="11" width="13.7109375" style="277" customWidth="1"/>
    <col min="12" max="12" width="8.85546875" style="277"/>
    <col min="13" max="13" width="9.42578125" style="277" bestFit="1" customWidth="1"/>
    <col min="14" max="14" width="8.28515625" style="277" bestFit="1" customWidth="1"/>
    <col min="15" max="15" width="8.85546875" style="277"/>
    <col min="16" max="16" width="20.85546875" style="277" bestFit="1" customWidth="1"/>
    <col min="17" max="18" width="8.85546875" style="277"/>
    <col min="19" max="19" width="20.85546875" style="277" bestFit="1" customWidth="1"/>
    <col min="20" max="20" width="9.28515625" style="277" bestFit="1" customWidth="1"/>
    <col min="21" max="16384" width="8.85546875" style="277"/>
  </cols>
  <sheetData>
    <row r="4" spans="5:26" x14ac:dyDescent="0.25">
      <c r="U4" s="279"/>
      <c r="V4" s="279"/>
      <c r="W4" s="279"/>
      <c r="X4" s="279"/>
      <c r="Y4" s="279"/>
      <c r="Z4" s="279"/>
    </row>
    <row r="5" spans="5:26" x14ac:dyDescent="0.25">
      <c r="U5" s="279"/>
      <c r="V5" s="279"/>
      <c r="W5" s="297" t="s">
        <v>5</v>
      </c>
      <c r="X5" s="279"/>
      <c r="Y5" s="297" t="s">
        <v>6</v>
      </c>
      <c r="Z5" s="279"/>
    </row>
    <row r="6" spans="5:26" ht="15.75" x14ac:dyDescent="0.25">
      <c r="E6" s="359" t="s">
        <v>13</v>
      </c>
      <c r="F6" s="359"/>
      <c r="G6" s="359"/>
      <c r="H6" s="359"/>
      <c r="I6" s="359"/>
      <c r="J6" s="359"/>
      <c r="K6" s="359"/>
      <c r="L6" s="360" t="s">
        <v>14</v>
      </c>
      <c r="M6" s="360"/>
      <c r="N6" s="360"/>
      <c r="P6" s="293" t="s">
        <v>388</v>
      </c>
      <c r="Q6" s="293" t="s">
        <v>5</v>
      </c>
      <c r="R6" s="278"/>
      <c r="S6" s="293" t="s">
        <v>388</v>
      </c>
      <c r="T6" s="293" t="s">
        <v>6</v>
      </c>
      <c r="U6" s="279"/>
      <c r="V6" s="298" t="s">
        <v>363</v>
      </c>
      <c r="W6" s="299">
        <f>'MATRIZ DE DECISÃO - CRITÉRIOS'!U7</f>
        <v>0.83333333333333337</v>
      </c>
      <c r="X6" s="300" t="s">
        <v>364</v>
      </c>
      <c r="Y6" s="299">
        <f>'MATRIZ DE DECISÃO - CRITÉRIOS'!W7</f>
        <v>0.16666666666666669</v>
      </c>
      <c r="Z6" s="298" t="s">
        <v>365</v>
      </c>
    </row>
    <row r="7" spans="5:26" x14ac:dyDescent="0.25">
      <c r="E7" s="280" t="s">
        <v>15</v>
      </c>
      <c r="F7" s="280" t="s">
        <v>4</v>
      </c>
      <c r="G7" s="280" t="s">
        <v>8</v>
      </c>
      <c r="H7" s="280" t="s">
        <v>9</v>
      </c>
      <c r="I7" s="280" t="s">
        <v>10</v>
      </c>
      <c r="J7" s="280" t="s">
        <v>11</v>
      </c>
      <c r="K7" s="280" t="s">
        <v>12</v>
      </c>
      <c r="L7" s="280" t="s">
        <v>16</v>
      </c>
      <c r="M7" s="280" t="s">
        <v>17</v>
      </c>
      <c r="N7" s="280" t="s">
        <v>18</v>
      </c>
      <c r="P7" s="294">
        <f t="shared" ref="P7:P12" si="0">L8</f>
        <v>6.6933055604788225E-2</v>
      </c>
      <c r="Q7" s="303">
        <f>P7*W6</f>
        <v>5.5777546337323521E-2</v>
      </c>
      <c r="R7" s="278"/>
      <c r="S7" s="294">
        <f t="shared" ref="S7:S12" si="1">L8</f>
        <v>6.6933055604788225E-2</v>
      </c>
      <c r="T7" s="303">
        <f>S7*Y6</f>
        <v>1.1155509267464706E-2</v>
      </c>
      <c r="U7" s="279"/>
      <c r="V7" s="301"/>
      <c r="W7" s="302"/>
      <c r="X7" s="302"/>
      <c r="Y7" s="302"/>
      <c r="Z7" s="279"/>
    </row>
    <row r="8" spans="5:26" x14ac:dyDescent="0.25">
      <c r="E8" s="280" t="s">
        <v>4</v>
      </c>
      <c r="F8" s="281">
        <v>1</v>
      </c>
      <c r="G8" s="340">
        <v>1</v>
      </c>
      <c r="H8" s="340">
        <v>1</v>
      </c>
      <c r="I8" s="340">
        <v>0.14285714285714285</v>
      </c>
      <c r="J8" s="340">
        <v>0.5</v>
      </c>
      <c r="K8" s="340">
        <v>0.2</v>
      </c>
      <c r="L8" s="283">
        <f t="shared" ref="L8:L13" si="2">L28</f>
        <v>6.6933055604788225E-2</v>
      </c>
      <c r="M8" s="283">
        <f t="shared" ref="M8:M13" si="3">MMULT(F8:K8,$L$8:$L$13)</f>
        <v>0.40379422125038233</v>
      </c>
      <c r="N8" s="283">
        <f t="shared" ref="N8:N13" si="4">M8/L8</f>
        <v>6.0328072221088904</v>
      </c>
      <c r="P8" s="294">
        <f t="shared" si="0"/>
        <v>7.9307387726222062E-2</v>
      </c>
      <c r="Q8" s="303">
        <f>P8*W10</f>
        <v>6.6089489771851723E-2</v>
      </c>
      <c r="R8" s="278"/>
      <c r="S8" s="294">
        <f t="shared" si="1"/>
        <v>7.9307387726222062E-2</v>
      </c>
      <c r="T8" s="303">
        <f>S8*Y10</f>
        <v>1.3217897954370346E-2</v>
      </c>
      <c r="U8" s="279"/>
      <c r="V8" s="301"/>
      <c r="W8" s="302"/>
      <c r="X8" s="302"/>
      <c r="Y8" s="302"/>
      <c r="Z8" s="279"/>
    </row>
    <row r="9" spans="5:26" x14ac:dyDescent="0.25">
      <c r="E9" s="280" t="s">
        <v>8</v>
      </c>
      <c r="F9" s="282">
        <f>IF(G$8=2,1/2,IF(G8=3,1/3,IF(G8=4,1/4,IF(G8=5,1/5,IF(G8=6,1/6,IF(G8=7,1/7,IF(G8=8,1/8,IF(G8=9,1/9,IF(G8=1/2,2,IF(G8=1/3,3,IF(G8=1/4,4,IF(G8=1/5,5,IF(G8=1/6,6,IF(G8=1/7,7,IF(G8=1/8,8,IF(G8=1/9,9,IF(G8=1,1,1)))))))))))))))))</f>
        <v>1</v>
      </c>
      <c r="G9" s="281">
        <v>1</v>
      </c>
      <c r="H9" s="340">
        <v>1</v>
      </c>
      <c r="I9" s="340">
        <v>0.25</v>
      </c>
      <c r="J9" s="340">
        <v>0.5</v>
      </c>
      <c r="K9" s="340">
        <v>0.33333333333333331</v>
      </c>
      <c r="L9" s="283">
        <f t="shared" si="2"/>
        <v>7.9307387726222062E-2</v>
      </c>
      <c r="M9" s="283">
        <f t="shared" si="3"/>
        <v>0.47838294404926679</v>
      </c>
      <c r="N9" s="283">
        <f t="shared" si="4"/>
        <v>6.0320098513482501</v>
      </c>
      <c r="P9" s="294">
        <f t="shared" si="0"/>
        <v>7.6613007433689345E-2</v>
      </c>
      <c r="Q9" s="303">
        <f>P9*W14</f>
        <v>1.532260148673787E-2</v>
      </c>
      <c r="R9" s="278"/>
      <c r="S9" s="294">
        <f t="shared" si="1"/>
        <v>7.6613007433689345E-2</v>
      </c>
      <c r="T9" s="303">
        <f>S9*Y14</f>
        <v>6.1290405946951482E-2</v>
      </c>
      <c r="U9" s="279"/>
      <c r="V9" s="301"/>
      <c r="W9" s="302"/>
      <c r="X9" s="302"/>
      <c r="Y9" s="302"/>
      <c r="Z9" s="279"/>
    </row>
    <row r="10" spans="5:26" x14ac:dyDescent="0.25">
      <c r="E10" s="280" t="s">
        <v>9</v>
      </c>
      <c r="F10" s="282">
        <f>IF(H8=2,1/2,IF(H8=3,1/3,IF(H8=4,1/4,IF(H8=5,1/5,IF(H8=6,1/6,IF(H8=7,1/7,IF(H8=8,1/8,IF(H8=9,1/9,IF(H8=1/2,2,IF(H8=1/3,3,IF(H8=1/4,4,IF(H8=1/5,5,IF(H8=1/6,6,IF(H8=1/7,7,IF(H8=1/8,8,IF(H8=1/9,9,IF(H8=1,1,1)))))))))))))))))</f>
        <v>1</v>
      </c>
      <c r="G10" s="282">
        <f>IF(H9=2,1/2,IF(H9=3,1/3,IF(H9=4,1/4,IF(H9=5,1/5,IF(H9=6,1/6,IF(H9=7,1/7,IF(H9=8,1/8,IF(H9=9,1/9,IF(H9=1/2,2,IF(H9=1/3,3,IF(H9=1/4,4,IF(H9=1/5,5,IF(H9=1/6,6,IF(H9=1/7,7,IF(H9=1/8,8,IF(H9=1/9,9,IF(H9=1,1,1)))))))))))))))))</f>
        <v>1</v>
      </c>
      <c r="H10" s="281">
        <v>1</v>
      </c>
      <c r="I10" s="340">
        <v>0.2</v>
      </c>
      <c r="J10" s="340">
        <v>0.5</v>
      </c>
      <c r="K10" s="340">
        <v>0.33333333333333331</v>
      </c>
      <c r="L10" s="283">
        <f t="shared" si="2"/>
        <v>7.6613007433689345E-2</v>
      </c>
      <c r="M10" s="283">
        <f t="shared" si="3"/>
        <v>0.46123493513595343</v>
      </c>
      <c r="N10" s="283">
        <f t="shared" si="4"/>
        <v>6.0203214909056388</v>
      </c>
      <c r="P10" s="294">
        <f t="shared" si="0"/>
        <v>0.34296017826626696</v>
      </c>
      <c r="Q10" s="303">
        <f>P10*W18</f>
        <v>3.4296017826626696E-2</v>
      </c>
      <c r="R10" s="278"/>
      <c r="S10" s="294">
        <f t="shared" si="1"/>
        <v>0.34296017826626696</v>
      </c>
      <c r="T10" s="303">
        <f>S10*Y18</f>
        <v>0.30866416043964023</v>
      </c>
      <c r="U10" s="279"/>
      <c r="V10" s="298" t="s">
        <v>366</v>
      </c>
      <c r="W10" s="299">
        <f>'MATRIZ DE DECISÃO - CRITÉRIOS'!U11</f>
        <v>0.83333333333333337</v>
      </c>
      <c r="X10" s="300" t="s">
        <v>364</v>
      </c>
      <c r="Y10" s="299">
        <f>'MATRIZ DE DECISÃO - CRITÉRIOS'!W11</f>
        <v>0.16666666666666669</v>
      </c>
      <c r="Z10" s="298" t="s">
        <v>365</v>
      </c>
    </row>
    <row r="11" spans="5:26" x14ac:dyDescent="0.25">
      <c r="E11" s="280" t="s">
        <v>10</v>
      </c>
      <c r="F11" s="282">
        <f>IF(I8=2,1/2,IF(I8=3,1/3,IF(I8=4,1/4,IF(I8=5,1/5,IF(I8=6,1/6,IF(I8=7,1/7,IF(I8=8,1/8,IF(I8=9,1/9,IF(I8=1/2,2,IF(I8=1/3,3,IF(I8=1/4,4,IF(I8=1/5,5,IF(I8=1/6,6,IF(I8=1/7,7,IF(I8=1/8,8,IF(I8=1/9,9,IF(I8=1,1,1)))))))))))))))))</f>
        <v>7</v>
      </c>
      <c r="G11" s="282">
        <f>IF(I9=2,1/2,IF(I9=3,1/3,IF(I9=4,1/4,IF(I9=5,1/5,IF(I9=6,1/6,IF(I9=7,1/7,IF(I9=8,1/8,IF(I9=9,1/9,IF(I9=1/2,2,IF(I9=1/3,3,IF(I9=1/4,4,IF(I9=1/5,5,IF(I9=1/6,6,IF(I9=1/7,7,IF(I9=1/8,8,IF(I9=1/9,9,IF(I9=1,1,1)))))))))))))))))</f>
        <v>4</v>
      </c>
      <c r="H11" s="282">
        <f>IF(I10=2,1/2,IF(I10=3,1/3,IF(I10=4,1/4,IF(I10=5,1/5,IF(I10=6,1/6,IF(I10=7,1/7,IF(I10=8,1/8,IF(I10=9,1/9,IF(I10=1/2,2,IF(I10=1/3,3,IF(I10=1/4,4,IF(I10=1/5,5,IF(I10=1/6,6,IF(I10=1/7,7,IF(I10=1/8,8,IF(I10=1/9,9,IF(I10=1,1,1)))))))))))))))))</f>
        <v>5</v>
      </c>
      <c r="I11" s="281">
        <v>1</v>
      </c>
      <c r="J11" s="340">
        <v>2</v>
      </c>
      <c r="K11" s="340">
        <v>1</v>
      </c>
      <c r="L11" s="283">
        <f t="shared" si="2"/>
        <v>0.34296017826626696</v>
      </c>
      <c r="M11" s="283">
        <f t="shared" si="3"/>
        <v>2.0963364769120889</v>
      </c>
      <c r="N11" s="283">
        <f t="shared" si="4"/>
        <v>6.1124778028443236</v>
      </c>
      <c r="P11" s="294">
        <f t="shared" si="0"/>
        <v>0.15036395036993588</v>
      </c>
      <c r="Q11" s="303">
        <f>P11*W22</f>
        <v>0.12530329197494658</v>
      </c>
      <c r="R11" s="278"/>
      <c r="S11" s="294">
        <f t="shared" si="1"/>
        <v>0.15036395036993588</v>
      </c>
      <c r="T11" s="303">
        <f>S11*Y22</f>
        <v>2.5060658394989315E-2</v>
      </c>
      <c r="U11" s="279"/>
      <c r="V11" s="301"/>
      <c r="W11" s="302"/>
      <c r="X11" s="302"/>
      <c r="Y11" s="302"/>
      <c r="Z11" s="279"/>
    </row>
    <row r="12" spans="5:26" x14ac:dyDescent="0.25">
      <c r="E12" s="280" t="s">
        <v>11</v>
      </c>
      <c r="F12" s="282">
        <f>IF(J8=2,1/2,IF(J8=3,1/3,IF(J8=4,1/4,IF(J8=5,1/5,IF(J8=6,1/6,IF(J8=7,1/7,IF(J8=8,1/8,IF(J8=9,1/9,IF(J8=1/2,2,IF(J8=1/3,3,IF(J8=1/4,4,IF(J8=1/5,5,IF(J8=1/6,6,IF(J8=1/7,7,IF(J8=1/8,8,IF(J8=1/9,9,IF(J8=1,1,1)))))))))))))))))</f>
        <v>2</v>
      </c>
      <c r="G12" s="282">
        <f>IF(J9=2,1/2,IF(J9=3,1/3,IF(J9=4,1/4,IF(J9=5,1/5,IF(J9=6,1/6,IF(J9=7,1/7,IF(J9=8,1/8,IF(J9=9,1/9,IF(J9=1/2,2,IF(J9=1/3,3,IF(J9=1/4,4,IF(J9=1/5,5,IF(J9=1/6,6,IF(J9=1/7,7,IF(J9=1/8,8,IF(J9=1/9,9,IF(J9=1,1,1)))))))))))))))))</f>
        <v>2</v>
      </c>
      <c r="H12" s="282">
        <f>IF(J10=2,1/2,IF(J10=3,1/3,IF(J10=4,1/4,IF(J10=5,1/5,IF(J10=6,1/6,IF(J10=7,1/7,IF(J10=8,1/8,IF(J10=9,1/9,IF(J10=1/2,2,IF(J10=1/3,3,IF(J10=1/4,4,IF(J10=1/5,5,IF(J10=1/6,6,IF(J10=1/7,7,IF(J10=1/8,8,IF(J10=1/9,9,IF(J10=1,1,1)))))))))))))))))</f>
        <v>2</v>
      </c>
      <c r="I12" s="282">
        <f>IF(J11=2,1/2,IF(J11=3,1/3,IF(J11=4,1/4,IF(J11=5,1/5,IF(J11=6,1/6,IF(J11=7,1/7,IF(J11=8,1/8,IF(J11=9,1/9,IF(J11=1/2,2,IF(J11=1/3,3,IF(J11=1/4,4,IF(J11=1/5,5,IF(J11=1/6,6,IF(J11=1/7,7,IF(J11=1/8,8,IF(J11=1/9,9,IF(J11=1,1,1)))))))))))))))))</f>
        <v>0.5</v>
      </c>
      <c r="J12" s="281">
        <v>1</v>
      </c>
      <c r="K12" s="340">
        <v>0.5</v>
      </c>
      <c r="L12" s="283">
        <f t="shared" si="2"/>
        <v>0.15036395036993588</v>
      </c>
      <c r="M12" s="283">
        <f t="shared" si="3"/>
        <v>0.90946215133201735</v>
      </c>
      <c r="N12" s="283">
        <f t="shared" si="4"/>
        <v>6.048405545973587</v>
      </c>
      <c r="P12" s="294">
        <f t="shared" si="0"/>
        <v>0.28382242059909757</v>
      </c>
      <c r="Q12" s="303">
        <f>P12*W26</f>
        <v>0.14191121029954878</v>
      </c>
      <c r="R12" s="278"/>
      <c r="S12" s="294">
        <f t="shared" si="1"/>
        <v>0.28382242059909757</v>
      </c>
      <c r="T12" s="303">
        <f>S12*Y26</f>
        <v>0.14191121029954878</v>
      </c>
      <c r="U12" s="279"/>
      <c r="V12" s="301"/>
      <c r="W12" s="302"/>
      <c r="X12" s="302"/>
      <c r="Y12" s="302"/>
      <c r="Z12" s="279"/>
    </row>
    <row r="13" spans="5:26" x14ac:dyDescent="0.25">
      <c r="E13" s="280" t="s">
        <v>12</v>
      </c>
      <c r="F13" s="282">
        <f>IF(K8=2,1/2,IF(K8=3,1/3,IF(K8=4,1/4,IF(K8=5,1/5,IF(K8=6,1/6,IF(K8=7,1/7,IF(K8=8,1/8,IF(K8=9,1/9,IF(K8=1/2,2,IF(K8=1/3,3,IF(K8=1/4,4,IF(K8=1/5,5,IF(K8=1/6,6,IF(K8=1/7,7,IF(K8=1/8,8,IF(K8=1/9,9,IF(K8=1,1,1)))))))))))))))))</f>
        <v>5</v>
      </c>
      <c r="G13" s="282">
        <f>IF(K9=2,1/2,IF(K9=3,1/3,IF(K9=4,1/4,IF(K9=5,1/5,IF(K9=6,1/6,IF(K9=7,1/7,IF(K9=8,1/8,IF(K9=9,1/9,IF(K9=1/2,2,IF(K9=1/3,3,IF(K9=1/4,4,IF(K9=1/5,5,IF(K9=1/6,6,IF(K9=1/7,7,IF(K9=1/8,8,IF(K9=1/9,9,IF(K9=1,1,1)))))))))))))))))</f>
        <v>3</v>
      </c>
      <c r="H13" s="282">
        <f>IF(K10=2,1/2,IF(K10=3,1/3,IF(K10=4,1/4,IF(K10=5,1/5,IF(K10=6,1/6,IF(K10=7,1/7,IF(K10=8,1/8,IF(K10=9,1/9,IF(K10=1/2,2,IF(K10=1/3,3,IF(K10=1/4,4,IF(K10=1/5,5,IF(K10=1/6,6,IF(K10=1/7,7,IF(K10=1/8,8,IF(K10=1/9,9,IF(K10=1,1,1)))))))))))))))))</f>
        <v>3</v>
      </c>
      <c r="I13" s="282">
        <f>IF(K11=2,1/2,IF(K11=3,1/3,IF(K11=4,1/4,IF(K11=5,1/5,IF(K11=6,1/6,IF(K11=7,1/7,IF(K11=8,1/8,IF(K11=9,1/9,IF(K11=1/2,2,IF(K11=1/3,3,IF(K11=1/4,4,IF(K11=1/5,5,IF(K11=1/6,6,IF(K11=1/7,7,IF(K11=1/8,8,IF(K11=1/9,9,IF(K11=1,1,1)))))))))))))))))</f>
        <v>1</v>
      </c>
      <c r="J13" s="282">
        <f>IF(K12=2,1/2,IF(K12=3,1/3,IF(K12=4,1/4,IF(K12=5,1/5,IF(K12=6,1/6,IF(K12=7,1/7,IF(K12=8,1/8,IF(K12=9,1/9,IF(K12=1/2,2,IF(K12=1/3,3,IF(K12=1/4,4,IF(K12=1/5,5,IF(K12=1/6,6,IF(K12=1/7,7,IF(K12=1/8,8,IF(K12=1/9,9,IF(K12=1,1,1)))))))))))))))))</f>
        <v>2</v>
      </c>
      <c r="K13" s="281">
        <v>1</v>
      </c>
      <c r="L13" s="283">
        <f t="shared" si="2"/>
        <v>0.28382242059909757</v>
      </c>
      <c r="M13" s="283">
        <f t="shared" si="3"/>
        <v>1.7299369631089117</v>
      </c>
      <c r="N13" s="283">
        <f t="shared" si="4"/>
        <v>6.0951385005361063</v>
      </c>
      <c r="P13" s="303" t="s">
        <v>389</v>
      </c>
      <c r="Q13" s="294">
        <f>SUM(Q7:Q12)</f>
        <v>0.43870015769703519</v>
      </c>
      <c r="R13" s="278"/>
      <c r="S13" s="303" t="s">
        <v>389</v>
      </c>
      <c r="T13" s="294">
        <f>SUM(T7:T12)</f>
        <v>0.56129984230296492</v>
      </c>
      <c r="U13" s="279"/>
      <c r="V13" s="301"/>
      <c r="W13" s="302"/>
      <c r="X13" s="302"/>
      <c r="Y13" s="302"/>
      <c r="Z13" s="279"/>
    </row>
    <row r="14" spans="5:26" ht="23.25" x14ac:dyDescent="0.35">
      <c r="E14" s="279"/>
      <c r="F14" s="279"/>
      <c r="G14" s="279"/>
      <c r="H14" s="279"/>
      <c r="I14" s="279"/>
      <c r="J14" s="279"/>
      <c r="K14" s="279"/>
      <c r="L14" s="279"/>
      <c r="M14" s="279"/>
      <c r="N14" s="279"/>
      <c r="P14" s="295" t="s">
        <v>141</v>
      </c>
      <c r="Q14" s="296">
        <f>Q13</f>
        <v>0.43870015769703519</v>
      </c>
      <c r="R14" s="278"/>
      <c r="S14" s="295" t="s">
        <v>141</v>
      </c>
      <c r="T14" s="296">
        <f>T13</f>
        <v>0.56129984230296492</v>
      </c>
      <c r="U14" s="279"/>
      <c r="V14" s="298" t="s">
        <v>367</v>
      </c>
      <c r="W14" s="299">
        <f>'MATRIZ DE DECISÃO - CRITÉRIOS'!U15</f>
        <v>0.2</v>
      </c>
      <c r="X14" s="300" t="s">
        <v>364</v>
      </c>
      <c r="Y14" s="299">
        <f>'MATRIZ DE DECISÃO - CRITÉRIOS'!W15</f>
        <v>0.8</v>
      </c>
      <c r="Z14" s="298" t="s">
        <v>365</v>
      </c>
    </row>
    <row r="15" spans="5:26" x14ac:dyDescent="0.25">
      <c r="U15" s="279"/>
      <c r="V15" s="301"/>
      <c r="W15" s="302"/>
      <c r="X15" s="302"/>
      <c r="Y15" s="302"/>
      <c r="Z15" s="279"/>
    </row>
    <row r="16" spans="5:26" x14ac:dyDescent="0.25">
      <c r="E16" s="280" t="s">
        <v>19</v>
      </c>
      <c r="F16" s="284">
        <f>SUM(F8:F13)</f>
        <v>17</v>
      </c>
      <c r="G16" s="284">
        <f t="shared" ref="G16:L16" si="5">SUM(G8:G13)</f>
        <v>12</v>
      </c>
      <c r="H16" s="284">
        <f t="shared" si="5"/>
        <v>13</v>
      </c>
      <c r="I16" s="284">
        <f t="shared" si="5"/>
        <v>3.092857142857143</v>
      </c>
      <c r="J16" s="284">
        <f t="shared" si="5"/>
        <v>6.5</v>
      </c>
      <c r="K16" s="284">
        <f t="shared" si="5"/>
        <v>3.3666666666666667</v>
      </c>
      <c r="L16" s="284">
        <f t="shared" si="5"/>
        <v>1</v>
      </c>
      <c r="U16" s="279"/>
      <c r="V16" s="301"/>
      <c r="W16" s="302"/>
      <c r="X16" s="302"/>
      <c r="Y16" s="302"/>
      <c r="Z16" s="279"/>
    </row>
    <row r="17" spans="5:26" x14ac:dyDescent="0.25">
      <c r="U17" s="279"/>
      <c r="V17" s="301"/>
      <c r="W17" s="302"/>
      <c r="X17" s="302"/>
      <c r="Y17" s="302"/>
      <c r="Z17" s="279"/>
    </row>
    <row r="18" spans="5:26" x14ac:dyDescent="0.25">
      <c r="E18" s="285" t="s">
        <v>20</v>
      </c>
      <c r="F18" s="286">
        <f>MAX(N8:N13)</f>
        <v>6.1124778028443236</v>
      </c>
      <c r="U18" s="279"/>
      <c r="V18" s="298" t="s">
        <v>368</v>
      </c>
      <c r="W18" s="299">
        <f>'MATRIZ DE DECISÃO - CRITÉRIOS'!U19</f>
        <v>0.1</v>
      </c>
      <c r="X18" s="300" t="s">
        <v>364</v>
      </c>
      <c r="Y18" s="299">
        <f>'MATRIZ DE DECISÃO - CRITÉRIOS'!W19</f>
        <v>0.89999999999999991</v>
      </c>
      <c r="Z18" s="298" t="s">
        <v>365</v>
      </c>
    </row>
    <row r="19" spans="5:26" x14ac:dyDescent="0.25">
      <c r="E19" s="310"/>
      <c r="F19" s="310"/>
      <c r="H19" s="289" t="s">
        <v>376</v>
      </c>
      <c r="J19" s="289" t="s">
        <v>374</v>
      </c>
      <c r="U19" s="279"/>
      <c r="V19" s="301"/>
      <c r="W19" s="302"/>
      <c r="X19" s="302"/>
      <c r="Y19" s="302"/>
      <c r="Z19" s="279"/>
    </row>
    <row r="20" spans="5:26" x14ac:dyDescent="0.25">
      <c r="E20" s="287" t="s">
        <v>21</v>
      </c>
      <c r="F20" s="288" t="s">
        <v>22</v>
      </c>
      <c r="H20" s="341">
        <f>HLOOKUP(J20,E38:M39,2,FALSE)</f>
        <v>1.24</v>
      </c>
      <c r="J20" s="339" t="s">
        <v>387</v>
      </c>
      <c r="U20" s="279"/>
      <c r="V20" s="301"/>
      <c r="W20" s="302"/>
      <c r="X20" s="302"/>
      <c r="Y20" s="302"/>
      <c r="Z20" s="279"/>
    </row>
    <row r="21" spans="5:26" x14ac:dyDescent="0.25">
      <c r="E21" s="287" t="s">
        <v>21</v>
      </c>
      <c r="F21" s="288">
        <f>(F18-HLOOKUP($J$20,$E$38:$M$40,3,FALSE))/(HLOOKUP($J$20,$E$38:$M$40,3,FALSE)-1)</f>
        <v>2.2495560568864724E-2</v>
      </c>
      <c r="H21" s="341">
        <f>HLOOKUP($J$20,$E$38:$M$40,3,FALSE)</f>
        <v>6</v>
      </c>
      <c r="U21" s="279"/>
      <c r="V21" s="301"/>
      <c r="W21" s="302"/>
      <c r="X21" s="302"/>
      <c r="Y21" s="302"/>
      <c r="Z21" s="279"/>
    </row>
    <row r="22" spans="5:26" x14ac:dyDescent="0.25">
      <c r="E22" s="310"/>
      <c r="F22" s="310"/>
      <c r="U22" s="279"/>
      <c r="V22" s="298" t="s">
        <v>369</v>
      </c>
      <c r="W22" s="299">
        <f>'MATRIZ DE DECISÃO - CRITÉRIOS'!U23</f>
        <v>0.83333333333333337</v>
      </c>
      <c r="X22" s="300" t="s">
        <v>364</v>
      </c>
      <c r="Y22" s="299">
        <f>'MATRIZ DE DECISÃO - CRITÉRIOS'!W23</f>
        <v>0.16666666666666669</v>
      </c>
      <c r="Z22" s="298" t="s">
        <v>365</v>
      </c>
    </row>
    <row r="23" spans="5:26" x14ac:dyDescent="0.25">
      <c r="E23" s="287" t="s">
        <v>11</v>
      </c>
      <c r="F23" s="288" t="s">
        <v>23</v>
      </c>
      <c r="U23" s="279"/>
      <c r="V23" s="301"/>
      <c r="W23" s="302"/>
      <c r="X23" s="302"/>
      <c r="Y23" s="302"/>
      <c r="Z23" s="279"/>
    </row>
    <row r="24" spans="5:26" ht="28.9" customHeight="1" x14ac:dyDescent="0.25">
      <c r="E24" s="287" t="s">
        <v>24</v>
      </c>
      <c r="F24" s="288">
        <f>F21/H20</f>
        <v>1.8141581103923166E-2</v>
      </c>
      <c r="H24" s="291" t="str">
        <f>IF(AND(F24&gt;0,F24&lt;0.1),"Consistência válida","Consistência inválida")</f>
        <v>Consistência válida</v>
      </c>
      <c r="U24" s="279"/>
      <c r="V24" s="301"/>
      <c r="W24" s="302"/>
      <c r="X24" s="302"/>
      <c r="Y24" s="302"/>
      <c r="Z24" s="279"/>
    </row>
    <row r="25" spans="5:26" x14ac:dyDescent="0.25">
      <c r="E25" s="287" t="s">
        <v>25</v>
      </c>
      <c r="F25" s="290">
        <f>F24</f>
        <v>1.8141581103923166E-2</v>
      </c>
      <c r="U25" s="279"/>
      <c r="V25" s="301"/>
      <c r="W25" s="302"/>
      <c r="X25" s="302"/>
      <c r="Y25" s="302"/>
      <c r="Z25" s="279"/>
    </row>
    <row r="26" spans="5:26" x14ac:dyDescent="0.25">
      <c r="U26" s="279"/>
      <c r="V26" s="298" t="s">
        <v>370</v>
      </c>
      <c r="W26" s="299">
        <f>'MATRIZ DE DECISÃO - CRITÉRIOS'!U27</f>
        <v>0.5</v>
      </c>
      <c r="X26" s="300" t="s">
        <v>364</v>
      </c>
      <c r="Y26" s="299">
        <f>'MATRIZ DE DECISÃO - CRITÉRIOS'!W27</f>
        <v>0.5</v>
      </c>
      <c r="Z26" s="298" t="s">
        <v>365</v>
      </c>
    </row>
    <row r="27" spans="5:26" x14ac:dyDescent="0.25">
      <c r="E27" s="280" t="s">
        <v>15</v>
      </c>
      <c r="F27" s="280" t="s">
        <v>4</v>
      </c>
      <c r="G27" s="280" t="s">
        <v>8</v>
      </c>
      <c r="H27" s="280" t="s">
        <v>9</v>
      </c>
      <c r="I27" s="280" t="s">
        <v>10</v>
      </c>
      <c r="J27" s="280" t="s">
        <v>11</v>
      </c>
      <c r="K27" s="280" t="s">
        <v>12</v>
      </c>
      <c r="L27" s="292" t="s">
        <v>7</v>
      </c>
      <c r="U27" s="279"/>
      <c r="V27" s="279"/>
      <c r="W27" s="279"/>
      <c r="X27" s="279"/>
      <c r="Y27" s="279"/>
      <c r="Z27" s="279"/>
    </row>
    <row r="28" spans="5:26" x14ac:dyDescent="0.25">
      <c r="E28" s="280" t="s">
        <v>4</v>
      </c>
      <c r="F28" s="283">
        <f t="shared" ref="F28:F33" si="6">F8/$F$16</f>
        <v>5.8823529411764705E-2</v>
      </c>
      <c r="G28" s="283">
        <f t="shared" ref="G28:G33" si="7">G8/$G$16</f>
        <v>8.3333333333333329E-2</v>
      </c>
      <c r="H28" s="283">
        <f t="shared" ref="H28:H33" si="8">H8/$H$16</f>
        <v>7.6923076923076927E-2</v>
      </c>
      <c r="I28" s="283">
        <f t="shared" ref="I28:I33" si="9">I8/$I$16</f>
        <v>4.6189376443418008E-2</v>
      </c>
      <c r="J28" s="283">
        <f t="shared" ref="J28:J33" si="10">J8/$J$16</f>
        <v>7.6923076923076927E-2</v>
      </c>
      <c r="K28" s="283">
        <f t="shared" ref="K28:K33" si="11">K8/$K$16</f>
        <v>5.940594059405941E-2</v>
      </c>
      <c r="L28" s="283">
        <f t="shared" ref="L28:L33" si="12">AVERAGE(F28:K28)</f>
        <v>6.6933055604788225E-2</v>
      </c>
      <c r="U28" s="279"/>
      <c r="V28" s="279"/>
      <c r="W28" s="279"/>
      <c r="X28" s="279"/>
      <c r="Y28" s="279"/>
      <c r="Z28" s="279"/>
    </row>
    <row r="29" spans="5:26" x14ac:dyDescent="0.25">
      <c r="E29" s="280" t="s">
        <v>8</v>
      </c>
      <c r="F29" s="283">
        <f t="shared" si="6"/>
        <v>5.8823529411764705E-2</v>
      </c>
      <c r="G29" s="283">
        <f t="shared" si="7"/>
        <v>8.3333333333333329E-2</v>
      </c>
      <c r="H29" s="283">
        <f t="shared" si="8"/>
        <v>7.6923076923076927E-2</v>
      </c>
      <c r="I29" s="283">
        <f t="shared" si="9"/>
        <v>8.0831408775981523E-2</v>
      </c>
      <c r="J29" s="283">
        <f t="shared" si="10"/>
        <v>7.6923076923076927E-2</v>
      </c>
      <c r="K29" s="283">
        <f t="shared" si="11"/>
        <v>9.9009900990099001E-2</v>
      </c>
      <c r="L29" s="283">
        <f t="shared" si="12"/>
        <v>7.9307387726222062E-2</v>
      </c>
      <c r="P29" s="279"/>
    </row>
    <row r="30" spans="5:26" x14ac:dyDescent="0.25">
      <c r="E30" s="280" t="s">
        <v>9</v>
      </c>
      <c r="F30" s="283">
        <f t="shared" si="6"/>
        <v>5.8823529411764705E-2</v>
      </c>
      <c r="G30" s="283">
        <f t="shared" si="7"/>
        <v>8.3333333333333329E-2</v>
      </c>
      <c r="H30" s="283">
        <f t="shared" si="8"/>
        <v>7.6923076923076927E-2</v>
      </c>
      <c r="I30" s="283">
        <f t="shared" si="9"/>
        <v>6.4665127020785224E-2</v>
      </c>
      <c r="J30" s="283">
        <f t="shared" si="10"/>
        <v>7.6923076923076927E-2</v>
      </c>
      <c r="K30" s="283">
        <f t="shared" si="11"/>
        <v>9.9009900990099001E-2</v>
      </c>
      <c r="L30" s="283">
        <f t="shared" si="12"/>
        <v>7.6613007433689345E-2</v>
      </c>
    </row>
    <row r="31" spans="5:26" x14ac:dyDescent="0.25">
      <c r="E31" s="280" t="s">
        <v>10</v>
      </c>
      <c r="F31" s="283">
        <f t="shared" si="6"/>
        <v>0.41176470588235292</v>
      </c>
      <c r="G31" s="283">
        <f t="shared" si="7"/>
        <v>0.33333333333333331</v>
      </c>
      <c r="H31" s="283">
        <f t="shared" si="8"/>
        <v>0.38461538461538464</v>
      </c>
      <c r="I31" s="283">
        <f t="shared" si="9"/>
        <v>0.32332563510392609</v>
      </c>
      <c r="J31" s="283">
        <f t="shared" si="10"/>
        <v>0.30769230769230771</v>
      </c>
      <c r="K31" s="283">
        <f t="shared" si="11"/>
        <v>0.29702970297029702</v>
      </c>
      <c r="L31" s="283">
        <f t="shared" si="12"/>
        <v>0.34296017826626696</v>
      </c>
    </row>
    <row r="32" spans="5:26" x14ac:dyDescent="0.25">
      <c r="E32" s="280" t="s">
        <v>11</v>
      </c>
      <c r="F32" s="283">
        <f t="shared" si="6"/>
        <v>0.11764705882352941</v>
      </c>
      <c r="G32" s="283">
        <f t="shared" si="7"/>
        <v>0.16666666666666666</v>
      </c>
      <c r="H32" s="283">
        <f t="shared" si="8"/>
        <v>0.15384615384615385</v>
      </c>
      <c r="I32" s="283">
        <f t="shared" si="9"/>
        <v>0.16166281755196305</v>
      </c>
      <c r="J32" s="283">
        <f t="shared" si="10"/>
        <v>0.15384615384615385</v>
      </c>
      <c r="K32" s="283">
        <f t="shared" si="11"/>
        <v>0.14851485148514851</v>
      </c>
      <c r="L32" s="283">
        <f t="shared" si="12"/>
        <v>0.15036395036993588</v>
      </c>
    </row>
    <row r="33" spans="5:13" x14ac:dyDescent="0.25">
      <c r="E33" s="280" t="s">
        <v>12</v>
      </c>
      <c r="F33" s="283">
        <f t="shared" si="6"/>
        <v>0.29411764705882354</v>
      </c>
      <c r="G33" s="283">
        <f t="shared" si="7"/>
        <v>0.25</v>
      </c>
      <c r="H33" s="283">
        <f t="shared" si="8"/>
        <v>0.23076923076923078</v>
      </c>
      <c r="I33" s="283">
        <f t="shared" si="9"/>
        <v>0.32332563510392609</v>
      </c>
      <c r="J33" s="283">
        <f t="shared" si="10"/>
        <v>0.30769230769230771</v>
      </c>
      <c r="K33" s="283">
        <f t="shared" si="11"/>
        <v>0.29702970297029702</v>
      </c>
      <c r="L33" s="283">
        <f t="shared" si="12"/>
        <v>0.28382242059909757</v>
      </c>
    </row>
    <row r="34" spans="5:13" x14ac:dyDescent="0.25">
      <c r="E34" s="279"/>
      <c r="F34" s="279"/>
      <c r="G34" s="279"/>
      <c r="H34" s="279"/>
      <c r="I34" s="279"/>
      <c r="J34" s="279"/>
      <c r="K34" s="279"/>
      <c r="L34" s="279"/>
    </row>
    <row r="35" spans="5:13" x14ac:dyDescent="0.25">
      <c r="E35" s="280" t="s">
        <v>19</v>
      </c>
      <c r="F35" s="284">
        <f>SUM(F28:F33)</f>
        <v>1</v>
      </c>
      <c r="G35" s="284">
        <f t="shared" ref="G35:L35" si="13">SUM(G28:G33)</f>
        <v>0.99999999999999989</v>
      </c>
      <c r="H35" s="284">
        <f t="shared" si="13"/>
        <v>1</v>
      </c>
      <c r="I35" s="284">
        <f t="shared" si="13"/>
        <v>0.99999999999999989</v>
      </c>
      <c r="J35" s="284">
        <f t="shared" si="13"/>
        <v>1</v>
      </c>
      <c r="K35" s="284">
        <f t="shared" si="13"/>
        <v>1</v>
      </c>
      <c r="L35" s="284">
        <f t="shared" si="13"/>
        <v>1</v>
      </c>
    </row>
    <row r="37" spans="5:13" x14ac:dyDescent="0.25">
      <c r="E37" s="361" t="s">
        <v>386</v>
      </c>
      <c r="F37" s="361"/>
      <c r="G37" s="361"/>
      <c r="H37" s="361"/>
      <c r="I37" s="361"/>
      <c r="J37" s="361"/>
      <c r="K37" s="361"/>
      <c r="L37" s="361"/>
      <c r="M37" s="361"/>
    </row>
    <row r="38" spans="5:13" x14ac:dyDescent="0.25">
      <c r="E38" s="303" t="s">
        <v>377</v>
      </c>
      <c r="F38" s="303" t="s">
        <v>378</v>
      </c>
      <c r="G38" s="303" t="s">
        <v>379</v>
      </c>
      <c r="H38" s="303" t="s">
        <v>380</v>
      </c>
      <c r="I38" s="303" t="s">
        <v>381</v>
      </c>
      <c r="J38" s="303" t="s">
        <v>375</v>
      </c>
      <c r="K38" s="303" t="s">
        <v>382</v>
      </c>
      <c r="L38" s="303" t="s">
        <v>383</v>
      </c>
      <c r="M38" s="303" t="s">
        <v>384</v>
      </c>
    </row>
    <row r="39" spans="5:13" x14ac:dyDescent="0.25">
      <c r="E39" s="303" t="s">
        <v>385</v>
      </c>
      <c r="F39" s="303">
        <v>0</v>
      </c>
      <c r="G39" s="303">
        <v>0.57999999999999996</v>
      </c>
      <c r="H39" s="303">
        <v>0.9</v>
      </c>
      <c r="I39" s="303">
        <v>1.1200000000000001</v>
      </c>
      <c r="J39" s="303">
        <v>1.24</v>
      </c>
      <c r="K39" s="303">
        <v>1.32</v>
      </c>
      <c r="L39" s="303">
        <v>1.41</v>
      </c>
      <c r="M39" s="303">
        <v>1.45</v>
      </c>
    </row>
    <row r="40" spans="5:13" x14ac:dyDescent="0.25">
      <c r="E40" s="303" t="s">
        <v>377</v>
      </c>
      <c r="F40" s="303">
        <v>2</v>
      </c>
      <c r="G40" s="303">
        <v>3</v>
      </c>
      <c r="H40" s="303">
        <v>4</v>
      </c>
      <c r="I40" s="303">
        <v>5</v>
      </c>
      <c r="J40" s="303">
        <v>6</v>
      </c>
      <c r="K40" s="303">
        <v>7</v>
      </c>
      <c r="L40" s="303">
        <v>8</v>
      </c>
      <c r="M40" s="303">
        <v>9</v>
      </c>
    </row>
  </sheetData>
  <sheetProtection algorithmName="SHA-512" hashValue="5a/ga00/FSPvCNdwFkCrwTZ4kXZzOLFOp3FWhdzzLYHvzXihfOOkJD4by8bNeE/nyLT4CgjuveOL9J+RlGZZiQ==" saltValue="yLLvOJxP8YYrwI51/BO71A==" spinCount="100000" sheet="1" objects="1" scenarios="1" selectLockedCells="1"/>
  <mergeCells count="3">
    <mergeCell ref="E6:K6"/>
    <mergeCell ref="L6:N6"/>
    <mergeCell ref="E37:M37"/>
  </mergeCells>
  <conditionalFormatting sqref="H24">
    <cfRule type="cellIs" dxfId="62" priority="1" operator="equal">
      <formula>"Consistência Inválida"</formula>
    </cfRule>
    <cfRule type="cellIs" dxfId="61" priority="2" operator="equal">
      <formula>"consistência válida"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B0F0"/>
  </sheetPr>
  <dimension ref="A4:N66"/>
  <sheetViews>
    <sheetView showGridLines="0" showRowColHeaders="0" topLeftCell="B1" zoomScale="80" zoomScaleNormal="80" workbookViewId="0"/>
  </sheetViews>
  <sheetFormatPr defaultRowHeight="15" x14ac:dyDescent="0.25"/>
  <cols>
    <col min="1" max="1" width="10.140625" hidden="1" customWidth="1"/>
    <col min="2" max="2" width="10.140625" customWidth="1"/>
    <col min="3" max="3" width="66.7109375" customWidth="1"/>
    <col min="4" max="4" width="17.5703125" style="3" bestFit="1" customWidth="1"/>
    <col min="5" max="5" width="18.5703125" bestFit="1" customWidth="1"/>
    <col min="6" max="6" width="22.7109375" bestFit="1" customWidth="1"/>
    <col min="7" max="8" width="2.28515625" customWidth="1"/>
    <col min="9" max="10" width="24.5703125" bestFit="1" customWidth="1"/>
    <col min="11" max="11" width="14.28515625" customWidth="1"/>
    <col min="12" max="12" width="18.140625" bestFit="1" customWidth="1"/>
    <col min="13" max="13" width="12.140625" bestFit="1" customWidth="1"/>
    <col min="14" max="14" width="9.5703125" bestFit="1" customWidth="1"/>
    <col min="19" max="19" width="12.7109375" bestFit="1" customWidth="1"/>
  </cols>
  <sheetData>
    <row r="4" spans="1:14" ht="15" customHeight="1" x14ac:dyDescent="0.25">
      <c r="H4" s="8"/>
      <c r="I4" s="8"/>
      <c r="J4" s="8"/>
    </row>
    <row r="5" spans="1:14" ht="15" customHeight="1" x14ac:dyDescent="0.25">
      <c r="H5" s="8"/>
      <c r="I5" s="8"/>
      <c r="J5" s="8"/>
    </row>
    <row r="6" spans="1:14" x14ac:dyDescent="0.25">
      <c r="A6" s="9" t="s">
        <v>26</v>
      </c>
      <c r="B6" s="9"/>
      <c r="C6" s="10" t="s">
        <v>27</v>
      </c>
      <c r="D6" s="11"/>
      <c r="E6" s="10"/>
      <c r="F6" s="10"/>
      <c r="G6" s="9"/>
      <c r="H6" s="9"/>
      <c r="I6" s="12"/>
      <c r="J6" s="12"/>
      <c r="K6" s="9"/>
    </row>
    <row r="7" spans="1:14" x14ac:dyDescent="0.25">
      <c r="A7" s="9">
        <v>3.7850000000000001</v>
      </c>
      <c r="B7" s="9"/>
      <c r="C7" s="13" t="s">
        <v>28</v>
      </c>
      <c r="D7" s="1"/>
      <c r="E7" s="14"/>
      <c r="F7" s="15"/>
      <c r="I7" s="16">
        <v>1</v>
      </c>
      <c r="J7" s="16">
        <v>1</v>
      </c>
      <c r="K7" s="9"/>
    </row>
    <row r="8" spans="1:14" x14ac:dyDescent="0.25">
      <c r="A8" s="9" t="s">
        <v>29</v>
      </c>
      <c r="B8" s="9"/>
      <c r="C8" s="17" t="s">
        <v>30</v>
      </c>
      <c r="D8" s="18" t="s">
        <v>31</v>
      </c>
      <c r="E8" s="19" t="s">
        <v>32</v>
      </c>
      <c r="F8" s="19" t="s">
        <v>32</v>
      </c>
      <c r="G8" s="20"/>
      <c r="H8" s="21"/>
      <c r="I8" s="22" t="s">
        <v>33</v>
      </c>
      <c r="J8" s="23" t="s">
        <v>33</v>
      </c>
      <c r="K8" s="9"/>
    </row>
    <row r="9" spans="1:14" x14ac:dyDescent="0.25">
      <c r="A9" s="9">
        <v>1000</v>
      </c>
      <c r="B9" s="9"/>
      <c r="C9" s="24"/>
      <c r="D9" s="25"/>
      <c r="E9" s="26" t="s">
        <v>34</v>
      </c>
      <c r="F9" s="26" t="s">
        <v>35</v>
      </c>
      <c r="G9" s="20"/>
      <c r="H9" s="21"/>
      <c r="I9" s="27" t="s">
        <v>34</v>
      </c>
      <c r="J9" s="26" t="s">
        <v>35</v>
      </c>
      <c r="K9" s="9"/>
    </row>
    <row r="10" spans="1:14" x14ac:dyDescent="0.25">
      <c r="A10" s="9" t="s">
        <v>36</v>
      </c>
      <c r="B10" s="9"/>
      <c r="C10" s="28" t="s">
        <v>37</v>
      </c>
      <c r="D10" s="29">
        <f>(D13*D16)/D14</f>
        <v>13714.285714285714</v>
      </c>
      <c r="E10" s="30">
        <f>(E16*E13)/E14</f>
        <v>13702.564102564103</v>
      </c>
      <c r="F10" s="30">
        <f>(F13*F16)/F14</f>
        <v>13741.935483870968</v>
      </c>
      <c r="G10" s="20"/>
      <c r="H10" s="21"/>
      <c r="I10" s="31">
        <f>BD!F3</f>
        <v>17388.679245283016</v>
      </c>
      <c r="J10" s="32">
        <f>BD!G3</f>
        <v>28256.603773584906</v>
      </c>
      <c r="K10" s="9"/>
    </row>
    <row r="11" spans="1:14" x14ac:dyDescent="0.25">
      <c r="A11" s="33">
        <f>D19</f>
        <v>3.8</v>
      </c>
      <c r="B11" s="33"/>
      <c r="C11" s="28" t="s">
        <v>38</v>
      </c>
      <c r="D11" s="29">
        <f>(D15*D16)/D14</f>
        <v>1714.2857142857142</v>
      </c>
      <c r="E11" s="30">
        <f>(E15*E16)/E14</f>
        <v>1712.8205128205129</v>
      </c>
      <c r="F11" s="30">
        <f>(F15*F16)/F14</f>
        <v>1717.741935483871</v>
      </c>
      <c r="G11" s="20"/>
      <c r="H11" s="21"/>
      <c r="I11" s="34">
        <f>I10/8</f>
        <v>2173.584905660377</v>
      </c>
      <c r="J11" s="30">
        <f>J10/8</f>
        <v>3532.0754716981132</v>
      </c>
      <c r="K11" s="9"/>
      <c r="N11" s="35"/>
    </row>
    <row r="12" spans="1:14" x14ac:dyDescent="0.25">
      <c r="A12" s="9"/>
      <c r="B12" s="9"/>
      <c r="C12" s="28" t="s">
        <v>39</v>
      </c>
      <c r="D12" s="29">
        <f>(D16/D14)</f>
        <v>28.571428571428573</v>
      </c>
      <c r="E12" s="30">
        <f>(E16/E14)</f>
        <v>28.547008547008549</v>
      </c>
      <c r="F12" s="30">
        <f>(F16/F14)</f>
        <v>28.629032258064516</v>
      </c>
      <c r="G12" s="20"/>
      <c r="H12" s="21"/>
      <c r="I12" s="34">
        <f>I11/60</f>
        <v>36.226415094339615</v>
      </c>
      <c r="J12" s="30">
        <f>J11/60</f>
        <v>58.867924528301884</v>
      </c>
      <c r="K12" s="9"/>
    </row>
    <row r="13" spans="1:14" x14ac:dyDescent="0.25">
      <c r="A13" s="9"/>
      <c r="B13" s="9"/>
      <c r="C13" s="28" t="s">
        <v>40</v>
      </c>
      <c r="D13" s="29">
        <v>480</v>
      </c>
      <c r="E13" s="30">
        <v>480</v>
      </c>
      <c r="F13" s="30">
        <v>480</v>
      </c>
      <c r="G13" s="20"/>
      <c r="H13" s="21"/>
      <c r="I13" s="34">
        <v>480</v>
      </c>
      <c r="J13" s="30">
        <v>480</v>
      </c>
      <c r="K13" s="9"/>
    </row>
    <row r="14" spans="1:14" x14ac:dyDescent="0.25">
      <c r="A14" s="9"/>
      <c r="B14" s="9"/>
      <c r="C14" s="28" t="s">
        <v>41</v>
      </c>
      <c r="D14" s="36">
        <f>ROUNDUP(D36/D19,0)</f>
        <v>14</v>
      </c>
      <c r="E14" s="37">
        <v>23.4</v>
      </c>
      <c r="F14" s="37">
        <v>24.8</v>
      </c>
      <c r="G14" s="38"/>
      <c r="H14" s="39"/>
      <c r="I14" s="40">
        <f>I36/I32</f>
        <v>18.4375</v>
      </c>
      <c r="J14" s="37">
        <f>J36/J32</f>
        <v>12.064102564102564</v>
      </c>
      <c r="K14" s="9"/>
    </row>
    <row r="15" spans="1:14" x14ac:dyDescent="0.25">
      <c r="A15" s="9"/>
      <c r="B15" s="9"/>
      <c r="C15" s="28" t="s">
        <v>42</v>
      </c>
      <c r="D15" s="29">
        <v>60</v>
      </c>
      <c r="E15" s="30">
        <v>60</v>
      </c>
      <c r="F15" s="30">
        <v>60</v>
      </c>
      <c r="G15" s="20"/>
      <c r="H15" s="21"/>
      <c r="I15" s="34">
        <v>60</v>
      </c>
      <c r="J15" s="30">
        <v>60</v>
      </c>
      <c r="K15" s="9"/>
    </row>
    <row r="16" spans="1:14" x14ac:dyDescent="0.25">
      <c r="A16" s="9"/>
      <c r="B16" s="9"/>
      <c r="C16" s="28" t="s">
        <v>43</v>
      </c>
      <c r="D16" s="29">
        <v>400</v>
      </c>
      <c r="E16" s="30">
        <v>668</v>
      </c>
      <c r="F16" s="30">
        <v>710</v>
      </c>
      <c r="G16" s="20"/>
      <c r="H16" s="21"/>
      <c r="I16" s="34">
        <v>668</v>
      </c>
      <c r="J16" s="30">
        <v>710</v>
      </c>
      <c r="K16" s="9"/>
    </row>
    <row r="17" spans="1:14" x14ac:dyDescent="0.25">
      <c r="A17" s="9"/>
      <c r="B17" s="9"/>
      <c r="C17" s="28" t="s">
        <v>44</v>
      </c>
      <c r="D17" s="29">
        <f>D10/D16</f>
        <v>34.285714285714285</v>
      </c>
      <c r="E17" s="30">
        <f>E10/E16</f>
        <v>20.512820512820515</v>
      </c>
      <c r="F17" s="30">
        <f>F10/F16</f>
        <v>19.35483870967742</v>
      </c>
      <c r="G17" s="20"/>
      <c r="H17" s="20"/>
      <c r="I17" s="34">
        <f>I10/I16</f>
        <v>26.030956954016492</v>
      </c>
      <c r="J17" s="30">
        <f>J10/J16</f>
        <v>39.798033483922403</v>
      </c>
      <c r="K17" s="9"/>
    </row>
    <row r="18" spans="1:14" x14ac:dyDescent="0.25">
      <c r="A18" s="9"/>
      <c r="B18" s="9"/>
      <c r="C18" s="28" t="s">
        <v>45</v>
      </c>
      <c r="D18" s="29">
        <f>(A11*A9)/A7</f>
        <v>1003.9630118890357</v>
      </c>
      <c r="E18" s="30">
        <v>1000</v>
      </c>
      <c r="F18" s="30">
        <v>1000</v>
      </c>
      <c r="G18" s="20"/>
      <c r="H18" s="21"/>
      <c r="I18" s="34">
        <f>(D18*I10)/D10</f>
        <v>1272.9493282819469</v>
      </c>
      <c r="J18" s="30">
        <f>(D18*J10)/D10</f>
        <v>2068.5426584581642</v>
      </c>
      <c r="K18" s="9"/>
    </row>
    <row r="19" spans="1:14" x14ac:dyDescent="0.25">
      <c r="A19" s="9"/>
      <c r="B19" s="9"/>
      <c r="C19" s="28" t="s">
        <v>46</v>
      </c>
      <c r="D19" s="42">
        <v>3.8</v>
      </c>
      <c r="E19" s="37">
        <f>E32</f>
        <v>3.7820512820512824</v>
      </c>
      <c r="F19" s="37">
        <f>F32</f>
        <v>3.794354838709677</v>
      </c>
      <c r="G19" s="20"/>
      <c r="H19" s="21"/>
      <c r="I19" s="41">
        <f>I32</f>
        <v>4.8</v>
      </c>
      <c r="J19" s="42">
        <f>J32</f>
        <v>7.8</v>
      </c>
      <c r="K19" s="9"/>
    </row>
    <row r="20" spans="1:14" x14ac:dyDescent="0.25">
      <c r="A20" s="9"/>
      <c r="B20" s="9"/>
      <c r="C20" s="28" t="s">
        <v>47</v>
      </c>
      <c r="D20" s="29">
        <v>260</v>
      </c>
      <c r="E20" s="30">
        <v>230</v>
      </c>
      <c r="F20" s="30">
        <v>260</v>
      </c>
      <c r="G20" s="20"/>
      <c r="H20" s="21"/>
      <c r="I20" s="34">
        <v>230</v>
      </c>
      <c r="J20" s="30">
        <v>260</v>
      </c>
      <c r="K20" s="9"/>
    </row>
    <row r="21" spans="1:14" x14ac:dyDescent="0.25">
      <c r="A21" s="9"/>
      <c r="B21" s="9"/>
      <c r="C21" s="28" t="s">
        <v>48</v>
      </c>
      <c r="D21" s="29"/>
      <c r="E21" s="43">
        <f>(E10/D10)-1</f>
        <v>-8.5470085470074064E-4</v>
      </c>
      <c r="F21" s="43">
        <f>(F10/D10)-1</f>
        <v>2.0161290322580072E-3</v>
      </c>
      <c r="G21" s="20"/>
      <c r="H21" s="21"/>
      <c r="I21" s="45">
        <f>(I10/D10)-1</f>
        <v>0.26792452830188673</v>
      </c>
      <c r="J21" s="44">
        <f>(J10/D10)-1</f>
        <v>1.060377358490566</v>
      </c>
      <c r="K21" s="9"/>
    </row>
    <row r="22" spans="1:14" ht="5.0999999999999996" customHeight="1" x14ac:dyDescent="0.25">
      <c r="A22" s="9"/>
      <c r="B22" s="9"/>
      <c r="C22" s="9"/>
      <c r="D22" s="46"/>
      <c r="E22" s="9"/>
      <c r="F22" s="9"/>
      <c r="G22" s="9"/>
      <c r="H22" s="9"/>
      <c r="I22" s="9"/>
      <c r="J22" s="9"/>
      <c r="K22" s="9"/>
      <c r="L22" s="9"/>
    </row>
    <row r="23" spans="1:14" x14ac:dyDescent="0.25">
      <c r="A23" s="9"/>
      <c r="B23" s="9"/>
      <c r="C23" s="47" t="s">
        <v>49</v>
      </c>
      <c r="D23" s="25" t="s">
        <v>31</v>
      </c>
      <c r="E23" s="26" t="s">
        <v>34</v>
      </c>
      <c r="F23" s="26" t="s">
        <v>35</v>
      </c>
      <c r="G23" s="20"/>
      <c r="H23" s="21"/>
      <c r="I23" s="27" t="s">
        <v>34</v>
      </c>
      <c r="J23" s="26" t="s">
        <v>35</v>
      </c>
      <c r="K23" s="9"/>
    </row>
    <row r="24" spans="1:14" x14ac:dyDescent="0.25">
      <c r="A24" s="9"/>
      <c r="B24" s="9"/>
      <c r="C24" s="48" t="s">
        <v>50</v>
      </c>
      <c r="D24" s="29">
        <f>BD!C15</f>
        <v>1</v>
      </c>
      <c r="E24" s="26">
        <f>BD!D15</f>
        <v>1</v>
      </c>
      <c r="F24" s="26">
        <f>BD!E15</f>
        <v>1</v>
      </c>
      <c r="G24" s="20"/>
      <c r="H24" s="21"/>
      <c r="I24" s="27">
        <f>BD!F15</f>
        <v>2</v>
      </c>
      <c r="J24" s="26">
        <f>BD!G15</f>
        <v>2</v>
      </c>
      <c r="K24" s="9"/>
    </row>
    <row r="25" spans="1:14" x14ac:dyDescent="0.25">
      <c r="A25" s="9"/>
      <c r="B25" s="9"/>
      <c r="C25" s="48" t="s">
        <v>51</v>
      </c>
      <c r="D25" s="29">
        <f>BD!C16</f>
        <v>1</v>
      </c>
      <c r="E25" s="26">
        <f>BD!D16</f>
        <v>1</v>
      </c>
      <c r="F25" s="26">
        <f>BD!E16</f>
        <v>1</v>
      </c>
      <c r="G25" s="20"/>
      <c r="H25" s="21"/>
      <c r="I25" s="27">
        <f>BD!F16</f>
        <v>1</v>
      </c>
      <c r="J25" s="26">
        <f>BD!G16</f>
        <v>1</v>
      </c>
      <c r="K25" s="9"/>
    </row>
    <row r="26" spans="1:14" x14ac:dyDescent="0.25">
      <c r="A26" s="9"/>
      <c r="B26" s="9"/>
      <c r="C26" s="48" t="s">
        <v>52</v>
      </c>
      <c r="D26" s="29">
        <f>BD!C17</f>
        <v>1</v>
      </c>
      <c r="E26" s="26">
        <f>BD!D17</f>
        <v>1</v>
      </c>
      <c r="F26" s="26">
        <f>BD!E17</f>
        <v>1</v>
      </c>
      <c r="G26" s="20"/>
      <c r="H26" s="21"/>
      <c r="I26" s="27">
        <f>BD!F17</f>
        <v>1</v>
      </c>
      <c r="J26" s="26">
        <f>BD!G17</f>
        <v>1</v>
      </c>
      <c r="K26" s="9"/>
    </row>
    <row r="27" spans="1:14" x14ac:dyDescent="0.25">
      <c r="A27" s="9"/>
      <c r="B27" s="9"/>
      <c r="C27" s="48" t="s">
        <v>53</v>
      </c>
      <c r="D27" s="25">
        <f>SUM(D24:D26)*8</f>
        <v>24</v>
      </c>
      <c r="E27" s="26">
        <f>SUM(E24:E26)*8</f>
        <v>24</v>
      </c>
      <c r="F27" s="26">
        <f>SUM(F24:F26)*8</f>
        <v>24</v>
      </c>
      <c r="G27" s="20"/>
      <c r="H27" s="21"/>
      <c r="I27" s="27">
        <f>SUM(I24:I26)*8</f>
        <v>32</v>
      </c>
      <c r="J27" s="26">
        <f>SUM(J24:J26)*8</f>
        <v>32</v>
      </c>
      <c r="K27" s="9"/>
    </row>
    <row r="28" spans="1:14" ht="5.0999999999999996" customHeight="1" x14ac:dyDescent="0.25">
      <c r="A28" s="9"/>
      <c r="B28" s="9"/>
      <c r="C28" s="9"/>
      <c r="D28" s="46"/>
      <c r="E28" s="9"/>
      <c r="F28" s="9"/>
      <c r="G28" s="9"/>
      <c r="H28" s="9"/>
      <c r="I28" s="9"/>
      <c r="J28" s="9"/>
      <c r="K28" s="9"/>
      <c r="L28" s="9"/>
    </row>
    <row r="29" spans="1:14" x14ac:dyDescent="0.25">
      <c r="A29" s="9"/>
      <c r="B29" s="9"/>
      <c r="C29" s="47" t="s">
        <v>54</v>
      </c>
      <c r="D29" s="25" t="s">
        <v>31</v>
      </c>
      <c r="E29" s="26" t="s">
        <v>34</v>
      </c>
      <c r="F29" s="26" t="s">
        <v>35</v>
      </c>
      <c r="G29" s="20"/>
      <c r="H29" s="21"/>
      <c r="I29" s="27" t="s">
        <v>34</v>
      </c>
      <c r="J29" s="26" t="s">
        <v>35</v>
      </c>
      <c r="K29" s="9"/>
      <c r="N29" s="9"/>
    </row>
    <row r="30" spans="1:14" x14ac:dyDescent="0.25">
      <c r="A30" s="9"/>
      <c r="B30" s="9"/>
      <c r="C30" s="48" t="s">
        <v>55</v>
      </c>
      <c r="D30" s="25">
        <v>120</v>
      </c>
      <c r="E30" s="26">
        <v>120</v>
      </c>
      <c r="F30" s="26">
        <v>120</v>
      </c>
      <c r="G30" s="20"/>
      <c r="H30" s="21"/>
      <c r="I30" s="27">
        <v>120</v>
      </c>
      <c r="J30" s="26">
        <v>120</v>
      </c>
      <c r="K30" s="9"/>
    </row>
    <row r="31" spans="1:14" x14ac:dyDescent="0.25">
      <c r="A31" s="9"/>
      <c r="B31" s="9"/>
      <c r="C31" s="48" t="s">
        <v>56</v>
      </c>
      <c r="D31" s="29">
        <f>D30*D12</f>
        <v>3428.5714285714289</v>
      </c>
      <c r="E31" s="30">
        <f>E30*E12</f>
        <v>3425.6410256410259</v>
      </c>
      <c r="F31" s="30">
        <f>F30*F12</f>
        <v>3435.483870967742</v>
      </c>
      <c r="G31" s="20"/>
      <c r="H31" s="21"/>
      <c r="I31" s="34">
        <f>I30*I12</f>
        <v>4347.169811320754</v>
      </c>
      <c r="J31" s="30">
        <f>J30*J12</f>
        <v>7064.1509433962265</v>
      </c>
      <c r="K31" s="9"/>
    </row>
    <row r="32" spans="1:14" x14ac:dyDescent="0.25">
      <c r="A32" s="9"/>
      <c r="B32" s="9"/>
      <c r="C32" s="48" t="s">
        <v>57</v>
      </c>
      <c r="D32" s="271">
        <f>D36/D14</f>
        <v>3.7857142857142856</v>
      </c>
      <c r="E32" s="271">
        <f>E36/E14</f>
        <v>3.7820512820512824</v>
      </c>
      <c r="F32" s="271">
        <f>F36/F14</f>
        <v>3.794354838709677</v>
      </c>
      <c r="G32" s="20"/>
      <c r="H32" s="21"/>
      <c r="I32" s="272">
        <f>BD!F21</f>
        <v>4.8</v>
      </c>
      <c r="J32" s="271">
        <f>BD!G21</f>
        <v>7.8</v>
      </c>
      <c r="K32" s="9"/>
    </row>
    <row r="33" spans="1:11" x14ac:dyDescent="0.25">
      <c r="A33" s="9"/>
      <c r="B33" s="9"/>
      <c r="C33" s="48" t="s">
        <v>58</v>
      </c>
      <c r="D33" s="25">
        <v>20</v>
      </c>
      <c r="E33" s="26">
        <v>54.5</v>
      </c>
      <c r="F33" s="26">
        <f>10+10+10+10+10+0.15+0.15+0.5</f>
        <v>50.8</v>
      </c>
      <c r="G33" s="20"/>
      <c r="H33" s="21"/>
      <c r="I33" s="27">
        <v>54.5</v>
      </c>
      <c r="J33" s="26">
        <f>10+10+10+10+10+0.15+0.15+0.5</f>
        <v>50.8</v>
      </c>
      <c r="K33" s="9"/>
    </row>
    <row r="34" spans="1:11" x14ac:dyDescent="0.25">
      <c r="A34" s="9"/>
      <c r="B34" s="9"/>
      <c r="C34" s="48" t="s">
        <v>59</v>
      </c>
      <c r="D34" s="25">
        <v>20</v>
      </c>
      <c r="E34" s="26">
        <f>1.5+18+1.5</f>
        <v>21</v>
      </c>
      <c r="F34" s="26">
        <f>10+10+10+0.15+0.15</f>
        <v>30.299999999999997</v>
      </c>
      <c r="G34" s="20"/>
      <c r="H34" s="21"/>
      <c r="I34" s="27">
        <f>1.5+18+1.5</f>
        <v>21</v>
      </c>
      <c r="J34" s="26">
        <f>10+10+10+0.15+0.15</f>
        <v>30.299999999999997</v>
      </c>
      <c r="K34" s="9"/>
    </row>
    <row r="35" spans="1:11" x14ac:dyDescent="0.25">
      <c r="A35" s="9"/>
      <c r="B35" s="9"/>
      <c r="C35" s="48" t="s">
        <v>60</v>
      </c>
      <c r="D35" s="25">
        <v>13</v>
      </c>
      <c r="E35" s="26">
        <v>13</v>
      </c>
      <c r="F35" s="26">
        <v>13</v>
      </c>
      <c r="G35" s="20"/>
      <c r="H35" s="21"/>
      <c r="I35" s="27">
        <v>13</v>
      </c>
      <c r="J35" s="26">
        <v>13</v>
      </c>
      <c r="K35" s="9"/>
    </row>
    <row r="36" spans="1:11" x14ac:dyDescent="0.25">
      <c r="A36" s="9"/>
      <c r="B36" s="9"/>
      <c r="C36" s="48" t="s">
        <v>61</v>
      </c>
      <c r="D36" s="25">
        <f>D35+D34+D33</f>
        <v>53</v>
      </c>
      <c r="E36" s="26">
        <f>E35+E34+E33</f>
        <v>88.5</v>
      </c>
      <c r="F36" s="26">
        <f>F35+F34+F33</f>
        <v>94.1</v>
      </c>
      <c r="G36" s="20"/>
      <c r="H36" s="21"/>
      <c r="I36" s="27">
        <f>I35+I34+I33</f>
        <v>88.5</v>
      </c>
      <c r="J36" s="26">
        <f>J35+J34+J33</f>
        <v>94.1</v>
      </c>
      <c r="K36" s="9"/>
    </row>
    <row r="37" spans="1:11" x14ac:dyDescent="0.25">
      <c r="A37" s="9"/>
      <c r="B37" s="9"/>
      <c r="C37" s="48" t="s">
        <v>62</v>
      </c>
      <c r="D37" s="25">
        <v>9</v>
      </c>
      <c r="E37" s="26">
        <v>21</v>
      </c>
      <c r="F37" s="26">
        <v>16</v>
      </c>
      <c r="G37" s="20"/>
      <c r="H37" s="21"/>
      <c r="I37" s="27">
        <v>21</v>
      </c>
      <c r="J37" s="26">
        <v>16</v>
      </c>
      <c r="K37" s="9"/>
    </row>
    <row r="38" spans="1:11" x14ac:dyDescent="0.25">
      <c r="A38" s="9"/>
      <c r="B38" s="9"/>
      <c r="C38" s="48" t="s">
        <v>63</v>
      </c>
      <c r="D38" s="25" t="s">
        <v>64</v>
      </c>
      <c r="E38" s="26" t="s">
        <v>65</v>
      </c>
      <c r="F38" s="26" t="s">
        <v>66</v>
      </c>
      <c r="G38" s="20"/>
      <c r="H38" s="21"/>
      <c r="I38" s="27" t="s">
        <v>65</v>
      </c>
      <c r="J38" s="26" t="s">
        <v>66</v>
      </c>
      <c r="K38" s="9"/>
    </row>
    <row r="39" spans="1:11" ht="5.0999999999999996" customHeight="1" x14ac:dyDescent="0.25">
      <c r="A39" s="9"/>
      <c r="B39" s="9"/>
      <c r="C39" s="9"/>
      <c r="D39" s="46"/>
      <c r="E39" s="9"/>
      <c r="F39" s="9"/>
      <c r="G39" s="9"/>
      <c r="H39" s="9"/>
      <c r="I39" s="9"/>
      <c r="J39" s="9"/>
      <c r="K39" s="9"/>
    </row>
    <row r="40" spans="1:11" x14ac:dyDescent="0.25">
      <c r="A40" s="9"/>
      <c r="B40" s="9"/>
      <c r="C40" s="47" t="s">
        <v>67</v>
      </c>
      <c r="D40" s="36" t="s">
        <v>31</v>
      </c>
      <c r="E40" s="26" t="s">
        <v>34</v>
      </c>
      <c r="F40" s="26" t="s">
        <v>35</v>
      </c>
      <c r="G40" s="20"/>
      <c r="H40" s="21"/>
      <c r="I40" s="27" t="s">
        <v>34</v>
      </c>
      <c r="J40" s="26" t="s">
        <v>35</v>
      </c>
      <c r="K40" s="9"/>
    </row>
    <row r="41" spans="1:11" x14ac:dyDescent="0.25">
      <c r="A41" s="9"/>
      <c r="B41" s="9"/>
      <c r="C41" s="48" t="s">
        <v>68</v>
      </c>
      <c r="D41" s="50">
        <f>D36/D32</f>
        <v>14</v>
      </c>
      <c r="E41" s="51">
        <f>E36/E32</f>
        <v>23.4</v>
      </c>
      <c r="F41" s="51">
        <f>F36/F32</f>
        <v>24.8</v>
      </c>
      <c r="G41" s="52"/>
      <c r="H41" s="53"/>
      <c r="I41" s="54">
        <f>I36/I32</f>
        <v>18.4375</v>
      </c>
      <c r="J41" s="51">
        <f>J36/J32</f>
        <v>12.064102564102564</v>
      </c>
      <c r="K41" s="9"/>
    </row>
    <row r="42" spans="1:11" x14ac:dyDescent="0.25">
      <c r="A42" s="9"/>
      <c r="B42" s="9"/>
      <c r="C42" s="48" t="s">
        <v>69</v>
      </c>
      <c r="D42" s="50">
        <f>D41-(D43+D44)</f>
        <v>3.4339622641509422</v>
      </c>
      <c r="E42" s="51">
        <f>E41-(E43+E44)</f>
        <v>3.4372881355932208</v>
      </c>
      <c r="F42" s="51">
        <f>F41-(F43+F44)</f>
        <v>3.4261424017003179</v>
      </c>
      <c r="G42" s="52"/>
      <c r="H42" s="53"/>
      <c r="I42" s="54">
        <f>I41-(I43+I44)</f>
        <v>2.7083333333333321</v>
      </c>
      <c r="J42" s="51">
        <f>J41-(J43+J44)</f>
        <v>1.6666666666666661</v>
      </c>
      <c r="K42" s="9"/>
    </row>
    <row r="43" spans="1:11" x14ac:dyDescent="0.25">
      <c r="A43" s="9"/>
      <c r="B43" s="9"/>
      <c r="C43" s="48" t="s">
        <v>70</v>
      </c>
      <c r="D43" s="36">
        <f>D33/D32</f>
        <v>5.2830188679245289</v>
      </c>
      <c r="E43" s="37">
        <f>E33/E32</f>
        <v>14.410169491525423</v>
      </c>
      <c r="F43" s="37">
        <f>F33/F32</f>
        <v>13.388310308182785</v>
      </c>
      <c r="G43" s="20"/>
      <c r="H43" s="20"/>
      <c r="I43" s="40">
        <f>I33/I32</f>
        <v>11.354166666666668</v>
      </c>
      <c r="J43" s="37">
        <f>J33/J32</f>
        <v>6.5128205128205128</v>
      </c>
      <c r="K43" s="9"/>
    </row>
    <row r="44" spans="1:11" x14ac:dyDescent="0.25">
      <c r="A44" s="9"/>
      <c r="B44" s="9"/>
      <c r="C44" s="5" t="s">
        <v>71</v>
      </c>
      <c r="D44" s="36">
        <f>D34/D32</f>
        <v>5.2830188679245289</v>
      </c>
      <c r="E44" s="37">
        <f>E34/E32</f>
        <v>5.5525423728813559</v>
      </c>
      <c r="F44" s="37">
        <f>F34/F32</f>
        <v>7.9855472901168971</v>
      </c>
      <c r="G44" s="20"/>
      <c r="H44" s="21"/>
      <c r="I44" s="276">
        <f>I34/I32</f>
        <v>4.375</v>
      </c>
      <c r="J44" s="275">
        <f>J34/J32</f>
        <v>3.8846153846153841</v>
      </c>
      <c r="K44" s="9"/>
    </row>
    <row r="45" spans="1:11" x14ac:dyDescent="0.25">
      <c r="A45" s="9"/>
      <c r="B45" s="9"/>
      <c r="C45" s="48" t="s">
        <v>72</v>
      </c>
      <c r="D45" s="36">
        <v>2.5</v>
      </c>
      <c r="E45" s="37">
        <v>2.5</v>
      </c>
      <c r="F45" s="37">
        <v>2.5</v>
      </c>
      <c r="G45" s="20"/>
      <c r="H45" s="21"/>
      <c r="I45" s="40">
        <v>2.5</v>
      </c>
      <c r="J45" s="37">
        <v>2.5</v>
      </c>
      <c r="K45" s="9"/>
    </row>
    <row r="46" spans="1:11" x14ac:dyDescent="0.25">
      <c r="A46" s="9"/>
      <c r="B46" s="9"/>
      <c r="C46" s="55" t="s">
        <v>73</v>
      </c>
      <c r="D46" s="25">
        <v>5</v>
      </c>
      <c r="E46" s="26">
        <v>5</v>
      </c>
      <c r="F46" s="26">
        <v>5</v>
      </c>
      <c r="G46" s="20"/>
      <c r="H46" s="21"/>
      <c r="I46" s="27">
        <v>5</v>
      </c>
      <c r="J46" s="26">
        <v>5</v>
      </c>
      <c r="K46" s="9"/>
    </row>
    <row r="47" spans="1:11" x14ac:dyDescent="0.25">
      <c r="A47" s="9">
        <v>14</v>
      </c>
      <c r="B47" s="9"/>
      <c r="C47" s="56" t="s">
        <v>74</v>
      </c>
      <c r="D47" s="36">
        <f>D43</f>
        <v>5.2830188679245289</v>
      </c>
      <c r="E47" s="37">
        <f>E43</f>
        <v>14.410169491525423</v>
      </c>
      <c r="F47" s="37">
        <f>F43</f>
        <v>13.388310308182785</v>
      </c>
      <c r="G47" s="20"/>
      <c r="H47" s="21"/>
      <c r="I47" s="37">
        <f>I43</f>
        <v>11.354166666666668</v>
      </c>
      <c r="J47" s="37">
        <f>J43</f>
        <v>6.5128205128205128</v>
      </c>
      <c r="K47" s="9"/>
    </row>
    <row r="48" spans="1:11" x14ac:dyDescent="0.25">
      <c r="A48" s="9">
        <v>5</v>
      </c>
      <c r="B48" s="9"/>
      <c r="C48" s="55" t="s">
        <v>75</v>
      </c>
      <c r="D48" s="36">
        <f>D47</f>
        <v>5.2830188679245289</v>
      </c>
      <c r="E48" s="37">
        <f>E47</f>
        <v>14.410169491525423</v>
      </c>
      <c r="F48" s="37">
        <f>F47</f>
        <v>13.388310308182785</v>
      </c>
      <c r="G48" s="20"/>
      <c r="H48" s="21"/>
      <c r="I48" s="37">
        <f>I47</f>
        <v>11.354166666666668</v>
      </c>
      <c r="J48" s="37">
        <f>J47</f>
        <v>6.5128205128205128</v>
      </c>
      <c r="K48" s="9"/>
    </row>
    <row r="49" spans="1:11" x14ac:dyDescent="0.25">
      <c r="A49" s="9">
        <v>115</v>
      </c>
      <c r="B49" s="9"/>
      <c r="C49" s="55" t="s">
        <v>76</v>
      </c>
      <c r="D49" s="25" t="s">
        <v>77</v>
      </c>
      <c r="E49" s="26" t="s">
        <v>77</v>
      </c>
      <c r="F49" s="26" t="s">
        <v>77</v>
      </c>
      <c r="G49" s="20"/>
      <c r="H49" s="21"/>
      <c r="I49" s="27" t="s">
        <v>77</v>
      </c>
      <c r="J49" s="26" t="s">
        <v>77</v>
      </c>
      <c r="K49" s="9"/>
    </row>
    <row r="50" spans="1:11" x14ac:dyDescent="0.25">
      <c r="A50" s="9">
        <v>186</v>
      </c>
      <c r="B50" s="9"/>
      <c r="C50" s="55" t="s">
        <v>78</v>
      </c>
      <c r="D50" s="29">
        <f>IF(D41=A47,(D41*A50)/A47,IF(D41&lt;A47,(D41*A50)/A47,(A47*A50)/D41))</f>
        <v>186</v>
      </c>
      <c r="E50" s="26" t="s">
        <v>79</v>
      </c>
      <c r="F50" s="26" t="s">
        <v>79</v>
      </c>
      <c r="G50" s="20"/>
      <c r="H50" s="21"/>
      <c r="I50" s="27" t="s">
        <v>79</v>
      </c>
      <c r="J50" s="26" t="s">
        <v>79</v>
      </c>
      <c r="K50" s="9"/>
    </row>
    <row r="51" spans="1:11" ht="5.0999999999999996" customHeight="1" x14ac:dyDescent="0.25">
      <c r="A51" s="9"/>
      <c r="B51" s="9"/>
      <c r="D51" s="46"/>
      <c r="E51" s="9"/>
      <c r="F51" s="9"/>
      <c r="G51" s="9"/>
      <c r="H51" s="9"/>
      <c r="I51" s="9"/>
      <c r="J51" s="9"/>
      <c r="K51" s="9"/>
    </row>
    <row r="52" spans="1:11" x14ac:dyDescent="0.25">
      <c r="A52" s="9"/>
      <c r="B52" s="9"/>
      <c r="C52" s="47" t="s">
        <v>80</v>
      </c>
      <c r="D52" s="36" t="s">
        <v>31</v>
      </c>
      <c r="E52" s="26" t="s">
        <v>34</v>
      </c>
      <c r="F52" s="26" t="s">
        <v>35</v>
      </c>
      <c r="G52" s="21"/>
      <c r="H52" s="21"/>
      <c r="I52" s="27" t="s">
        <v>34</v>
      </c>
      <c r="J52" s="26" t="s">
        <v>35</v>
      </c>
      <c r="K52" s="9"/>
    </row>
    <row r="53" spans="1:11" x14ac:dyDescent="0.25">
      <c r="A53" s="9"/>
      <c r="B53" s="9"/>
      <c r="C53" s="6" t="s">
        <v>81</v>
      </c>
      <c r="D53" s="26"/>
      <c r="E53" s="57">
        <v>200000</v>
      </c>
      <c r="F53" s="57">
        <v>300000</v>
      </c>
      <c r="G53" s="21"/>
      <c r="H53" s="21"/>
      <c r="I53" s="58">
        <v>200000</v>
      </c>
      <c r="J53" s="57">
        <v>300000</v>
      </c>
      <c r="K53" s="9"/>
    </row>
    <row r="54" spans="1:11" x14ac:dyDescent="0.25">
      <c r="A54" s="9"/>
      <c r="B54" s="9"/>
      <c r="C54" s="6" t="s">
        <v>82</v>
      </c>
      <c r="D54" s="57">
        <f>(792646.34)/3</f>
        <v>264215.44666666666</v>
      </c>
      <c r="E54" s="57">
        <f>D54</f>
        <v>264215.44666666666</v>
      </c>
      <c r="F54" s="57">
        <f>D54</f>
        <v>264215.44666666666</v>
      </c>
      <c r="G54" s="21"/>
      <c r="H54" s="21"/>
      <c r="I54" s="58">
        <f>(792646.34)/3</f>
        <v>264215.44666666666</v>
      </c>
      <c r="J54" s="57">
        <f>(792646.34)/3</f>
        <v>264215.44666666666</v>
      </c>
      <c r="K54" s="9"/>
    </row>
    <row r="55" spans="1:11" x14ac:dyDescent="0.25">
      <c r="A55" s="9"/>
      <c r="B55" s="9"/>
      <c r="C55" s="6" t="s">
        <v>83</v>
      </c>
      <c r="D55" s="59"/>
      <c r="E55" s="61">
        <f>E21</f>
        <v>-8.5470085470074064E-4</v>
      </c>
      <c r="F55" s="59">
        <f>F21</f>
        <v>2.0161290322580072E-3</v>
      </c>
      <c r="G55" s="21"/>
      <c r="H55" s="21"/>
      <c r="I55" s="61">
        <f>I21</f>
        <v>0.26792452830188673</v>
      </c>
      <c r="J55" s="60">
        <f>J21</f>
        <v>1.060377358490566</v>
      </c>
      <c r="K55" s="9"/>
    </row>
    <row r="56" spans="1:11" x14ac:dyDescent="0.25">
      <c r="A56" s="9"/>
      <c r="B56" s="9"/>
      <c r="C56" s="6" t="s">
        <v>84</v>
      </c>
      <c r="D56" s="57"/>
      <c r="E56" s="57">
        <f>E54*(1+E21)</f>
        <v>263989.62149857549</v>
      </c>
      <c r="F56" s="57">
        <f>F54*(1+F21)</f>
        <v>264748.13909946237</v>
      </c>
      <c r="G56" s="21"/>
      <c r="H56" s="21"/>
      <c r="I56" s="57">
        <f>I54*(1+I21)</f>
        <v>335005.24558490561</v>
      </c>
      <c r="J56" s="57">
        <f>J54*(1+J21)</f>
        <v>544383.52407547168</v>
      </c>
      <c r="K56" s="9"/>
    </row>
    <row r="57" spans="1:11" x14ac:dyDescent="0.25">
      <c r="A57" s="9"/>
      <c r="B57" s="9"/>
      <c r="C57" s="6" t="s">
        <v>85</v>
      </c>
      <c r="D57" s="57"/>
      <c r="E57" s="58">
        <f>E56-E54</f>
        <v>-225.8251680911635</v>
      </c>
      <c r="F57" s="57">
        <f>F56-F54</f>
        <v>532.69243279570946</v>
      </c>
      <c r="G57" s="21"/>
      <c r="H57" s="21"/>
      <c r="I57" s="58">
        <f>I56-I54</f>
        <v>70789.798918238957</v>
      </c>
      <c r="J57" s="57">
        <f>J56-J54</f>
        <v>280168.07740880502</v>
      </c>
      <c r="K57" s="9"/>
    </row>
    <row r="58" spans="1:11" x14ac:dyDescent="0.25">
      <c r="A58" s="9"/>
      <c r="B58" s="9"/>
      <c r="C58" s="6" t="s">
        <v>86</v>
      </c>
      <c r="D58" s="57"/>
      <c r="E58" s="57"/>
      <c r="F58" s="245">
        <f>F53/F57</f>
        <v>563.17676304414795</v>
      </c>
      <c r="G58" s="21"/>
      <c r="H58" s="62"/>
      <c r="I58" s="244">
        <f>I53/I57</f>
        <v>2.8252658300526701</v>
      </c>
      <c r="J58" s="245">
        <f>J53/J57</f>
        <v>1.0707858039167588</v>
      </c>
      <c r="K58" s="9"/>
    </row>
    <row r="59" spans="1:11" ht="5.0999999999999996" customHeight="1" x14ac:dyDescent="0.25">
      <c r="A59" s="9"/>
      <c r="B59" s="9"/>
      <c r="D59" s="46"/>
      <c r="E59" s="9"/>
      <c r="F59" s="9"/>
      <c r="G59" s="9"/>
      <c r="H59" s="9"/>
      <c r="I59" s="9"/>
      <c r="J59" s="9"/>
      <c r="K59" s="9"/>
    </row>
    <row r="60" spans="1:11" x14ac:dyDescent="0.25">
      <c r="A60" s="9"/>
      <c r="B60" s="9"/>
      <c r="C60" s="47" t="s">
        <v>87</v>
      </c>
      <c r="D60" s="36" t="s">
        <v>31</v>
      </c>
      <c r="E60" s="26" t="s">
        <v>34</v>
      </c>
      <c r="F60" s="26" t="s">
        <v>35</v>
      </c>
      <c r="G60" s="21"/>
      <c r="H60" s="21"/>
      <c r="I60" s="27" t="s">
        <v>34</v>
      </c>
      <c r="J60" s="26" t="s">
        <v>35</v>
      </c>
      <c r="K60" s="9"/>
    </row>
    <row r="61" spans="1:11" x14ac:dyDescent="0.25">
      <c r="A61" s="9"/>
      <c r="B61" s="9"/>
      <c r="C61" s="6" t="s">
        <v>88</v>
      </c>
      <c r="D61" s="57">
        <v>30000</v>
      </c>
      <c r="E61" s="57">
        <f>-D61</f>
        <v>-30000</v>
      </c>
      <c r="F61" s="57">
        <f>-D61</f>
        <v>-30000</v>
      </c>
      <c r="G61" s="21"/>
      <c r="H61" s="21"/>
      <c r="I61" s="58">
        <f t="shared" ref="I61:J63" si="0">E61</f>
        <v>-30000</v>
      </c>
      <c r="J61" s="57">
        <f t="shared" si="0"/>
        <v>-30000</v>
      </c>
      <c r="K61" s="9"/>
    </row>
    <row r="62" spans="1:11" x14ac:dyDescent="0.25">
      <c r="A62" s="9"/>
      <c r="B62" s="9"/>
      <c r="C62" s="6" t="s">
        <v>89</v>
      </c>
      <c r="D62" s="57">
        <v>5000</v>
      </c>
      <c r="E62" s="57">
        <f>-D62</f>
        <v>-5000</v>
      </c>
      <c r="F62" s="57">
        <f>D62</f>
        <v>5000</v>
      </c>
      <c r="G62" s="21"/>
      <c r="H62" s="21"/>
      <c r="I62" s="58">
        <f t="shared" si="0"/>
        <v>-5000</v>
      </c>
      <c r="J62" s="57">
        <f t="shared" si="0"/>
        <v>5000</v>
      </c>
      <c r="K62" s="9"/>
    </row>
    <row r="63" spans="1:11" x14ac:dyDescent="0.25">
      <c r="A63" s="9"/>
      <c r="B63" s="9"/>
      <c r="C63" s="6" t="s">
        <v>90</v>
      </c>
      <c r="D63" s="63">
        <f>SUM(D61:D62)</f>
        <v>35000</v>
      </c>
      <c r="E63" s="63">
        <f>SUM(E61:E62)</f>
        <v>-35000</v>
      </c>
      <c r="F63" s="63">
        <f>SUM(F61:F62)-D62</f>
        <v>-30000</v>
      </c>
      <c r="G63" s="21"/>
      <c r="H63" s="21"/>
      <c r="I63" s="58">
        <f t="shared" si="0"/>
        <v>-35000</v>
      </c>
      <c r="J63" s="57">
        <f t="shared" si="0"/>
        <v>-30000</v>
      </c>
      <c r="K63" s="9"/>
    </row>
    <row r="64" spans="1:11" x14ac:dyDescent="0.25">
      <c r="A64" s="9"/>
      <c r="B64" s="9"/>
      <c r="C64" s="6" t="s">
        <v>91</v>
      </c>
      <c r="D64" s="26"/>
      <c r="E64" s="64">
        <f>E63*12</f>
        <v>-420000</v>
      </c>
      <c r="F64" s="64">
        <f>F63*12</f>
        <v>-360000</v>
      </c>
      <c r="G64" s="21"/>
      <c r="H64" s="21"/>
      <c r="I64" s="64">
        <f>I63*12</f>
        <v>-420000</v>
      </c>
      <c r="J64" s="64">
        <f>J63*12</f>
        <v>-360000</v>
      </c>
      <c r="K64" s="9"/>
    </row>
    <row r="65" spans="1:11" x14ac:dyDescent="0.25">
      <c r="A65" s="9"/>
      <c r="B65" s="9"/>
      <c r="C65" s="6" t="s">
        <v>92</v>
      </c>
      <c r="D65" s="26"/>
      <c r="E65" s="65">
        <f>(E64/F64)-1</f>
        <v>0.16666666666666674</v>
      </c>
      <c r="F65" s="63"/>
      <c r="G65" s="20"/>
      <c r="H65" s="20"/>
      <c r="I65" s="65">
        <f>(I64/J64)-1</f>
        <v>0.16666666666666674</v>
      </c>
      <c r="J65" s="63"/>
      <c r="K65" s="9"/>
    </row>
    <row r="66" spans="1:11" x14ac:dyDescent="0.25">
      <c r="A66" s="9"/>
      <c r="B66" s="9"/>
      <c r="D66" s="20"/>
      <c r="E66" s="20"/>
      <c r="F66" s="20"/>
      <c r="G66" s="21"/>
      <c r="H66" s="21"/>
      <c r="I66" s="21"/>
      <c r="J66" s="21"/>
      <c r="K66" s="9"/>
    </row>
  </sheetData>
  <sheetProtection algorithmName="SHA-512" hashValue="b7LpA1RLxHoJ5BcJUj/02YTT/S3JYwvexaHJJqDXPmBc5wAq+1SkdlEnCi7J5SPBwE+7jDgt3wk9rwhIeE/WeQ==" saltValue="Zluy8JGDrDDWd6Rqx1LnQQ==" spinCount="100000" sheet="1" objects="1" scenarios="1"/>
  <conditionalFormatting sqref="D24:F27">
    <cfRule type="cellIs" dxfId="60" priority="33" operator="between">
      <formula>6.5</formula>
      <formula>10</formula>
    </cfRule>
  </conditionalFormatting>
  <conditionalFormatting sqref="D44:F44">
    <cfRule type="cellIs" dxfId="59" priority="31" operator="greaterThan">
      <formula>5</formula>
    </cfRule>
    <cfRule type="cellIs" dxfId="58" priority="32" operator="lessThan">
      <formula>5</formula>
    </cfRule>
  </conditionalFormatting>
  <conditionalFormatting sqref="D47:F47">
    <cfRule type="cellIs" dxfId="57" priority="28" operator="equal">
      <formula>5</formula>
    </cfRule>
    <cfRule type="cellIs" dxfId="56" priority="29" operator="lessThan">
      <formula>5</formula>
    </cfRule>
    <cfRule type="cellIs" dxfId="55" priority="30" operator="greaterThan">
      <formula>5</formula>
    </cfRule>
  </conditionalFormatting>
  <conditionalFormatting sqref="I24:J26">
    <cfRule type="cellIs" dxfId="54" priority="21" operator="between">
      <formula>6.5</formula>
      <formula>10</formula>
    </cfRule>
  </conditionalFormatting>
  <conditionalFormatting sqref="I27:J27">
    <cfRule type="cellIs" dxfId="53" priority="14" operator="between">
      <formula>6.5</formula>
      <formula>10</formula>
    </cfRule>
  </conditionalFormatting>
  <conditionalFormatting sqref="D50">
    <cfRule type="cellIs" dxfId="52" priority="10" operator="lessThan">
      <formula>186</formula>
    </cfRule>
  </conditionalFormatting>
  <conditionalFormatting sqref="I47:J47">
    <cfRule type="cellIs" dxfId="51" priority="4" operator="equal">
      <formula>5</formula>
    </cfRule>
    <cfRule type="cellIs" dxfId="50" priority="5" operator="lessThan">
      <formula>5</formula>
    </cfRule>
    <cfRule type="cellIs" dxfId="49" priority="6" operator="greaterThan">
      <formula>5</formula>
    </cfRule>
  </conditionalFormatting>
  <conditionalFormatting sqref="I44">
    <cfRule type="cellIs" dxfId="48" priority="1" operator="greaterThan">
      <formula>4.3</formula>
    </cfRule>
    <cfRule type="cellIs" dxfId="47" priority="2" operator="greaterThan">
      <formula>4.4</formula>
    </cfRule>
  </conditionalFormatting>
  <conditionalFormatting sqref="J44">
    <cfRule type="cellIs" dxfId="46" priority="3" operator="greaterThan">
      <formula>3.84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C000"/>
  </sheetPr>
  <dimension ref="A7:AR46"/>
  <sheetViews>
    <sheetView showGridLines="0" zoomScale="90" zoomScaleNormal="90" workbookViewId="0"/>
  </sheetViews>
  <sheetFormatPr defaultRowHeight="15" x14ac:dyDescent="0.25"/>
  <cols>
    <col min="1" max="1" width="10.85546875" bestFit="1" customWidth="1"/>
    <col min="2" max="2" width="7.85546875" bestFit="1" customWidth="1"/>
    <col min="3" max="3" width="14.85546875" bestFit="1" customWidth="1"/>
    <col min="4" max="4" width="9.42578125" bestFit="1" customWidth="1"/>
    <col min="5" max="5" width="11.85546875" bestFit="1" customWidth="1"/>
    <col min="6" max="6" width="3.5703125" bestFit="1" customWidth="1"/>
    <col min="7" max="7" width="5.7109375" customWidth="1"/>
    <col min="8" max="8" width="15" customWidth="1"/>
    <col min="9" max="9" width="17.42578125" customWidth="1"/>
    <col min="10" max="10" width="18.28515625" customWidth="1"/>
    <col min="11" max="11" width="15" customWidth="1"/>
    <col min="12" max="12" width="25.7109375" bestFit="1" customWidth="1"/>
    <col min="13" max="13" width="22.28515625" customWidth="1"/>
    <col min="14" max="14" width="9" bestFit="1" customWidth="1"/>
    <col min="15" max="15" width="13.42578125" customWidth="1"/>
    <col min="16" max="16" width="14.5703125" customWidth="1"/>
    <col min="17" max="17" width="9.42578125" bestFit="1" customWidth="1"/>
    <col min="18" max="19" width="9.42578125" customWidth="1"/>
    <col min="20" max="20" width="18.140625" customWidth="1"/>
    <col min="21" max="21" width="23" bestFit="1" customWidth="1"/>
    <col min="22" max="23" width="13.140625" bestFit="1" customWidth="1"/>
    <col min="24" max="24" width="13.7109375" bestFit="1" customWidth="1"/>
    <col min="25" max="25" width="3.5703125" bestFit="1" customWidth="1"/>
    <col min="26" max="26" width="13.42578125" bestFit="1" customWidth="1"/>
    <col min="27" max="27" width="16.140625" bestFit="1" customWidth="1"/>
    <col min="28" max="28" width="14.85546875" bestFit="1" customWidth="1"/>
    <col min="29" max="29" width="34" bestFit="1" customWidth="1"/>
    <col min="30" max="30" width="2.7109375" customWidth="1"/>
    <col min="32" max="34" width="4.7109375" bestFit="1" customWidth="1"/>
    <col min="35" max="35" width="5.7109375" bestFit="1" customWidth="1"/>
    <col min="36" max="36" width="7.85546875" bestFit="1" customWidth="1"/>
    <col min="37" max="37" width="2.42578125" customWidth="1"/>
    <col min="38" max="38" width="5.140625" customWidth="1"/>
    <col min="40" max="40" width="25.7109375" bestFit="1" customWidth="1"/>
    <col min="41" max="41" width="11.5703125" bestFit="1" customWidth="1"/>
    <col min="42" max="42" width="15.42578125" bestFit="1" customWidth="1"/>
    <col min="43" max="43" width="26" bestFit="1" customWidth="1"/>
    <col min="44" max="44" width="23.140625" bestFit="1" customWidth="1"/>
  </cols>
  <sheetData>
    <row r="7" spans="1:44" x14ac:dyDescent="0.25">
      <c r="A7" s="68" t="s">
        <v>94</v>
      </c>
      <c r="B7" s="69"/>
      <c r="C7" s="69"/>
      <c r="D7" s="69"/>
      <c r="E7" s="69"/>
      <c r="F7" s="69"/>
      <c r="G7" s="69"/>
      <c r="H7" s="69"/>
      <c r="I7" s="69"/>
      <c r="J7" s="69"/>
      <c r="K7" s="70"/>
      <c r="L7" s="70"/>
      <c r="M7" s="70"/>
      <c r="N7" s="71"/>
      <c r="O7" s="71"/>
      <c r="P7" s="71"/>
      <c r="Q7" s="71"/>
      <c r="R7" s="71"/>
      <c r="S7" s="71"/>
      <c r="T7" s="71"/>
      <c r="U7" s="71"/>
      <c r="V7" s="362" t="s">
        <v>95</v>
      </c>
      <c r="W7" s="362"/>
      <c r="X7" s="362"/>
      <c r="Y7" s="362"/>
      <c r="Z7" s="362"/>
      <c r="AA7" s="362"/>
      <c r="AB7" s="362"/>
      <c r="AC7" s="362"/>
      <c r="AE7" s="72" t="s">
        <v>96</v>
      </c>
      <c r="AF7" s="73" t="s">
        <v>97</v>
      </c>
      <c r="AG7" s="74" t="s">
        <v>98</v>
      </c>
      <c r="AH7" s="75" t="s">
        <v>99</v>
      </c>
      <c r="AI7" s="76" t="s">
        <v>100</v>
      </c>
      <c r="AJ7" s="77" t="s">
        <v>101</v>
      </c>
      <c r="AN7" s="78" t="s">
        <v>94</v>
      </c>
      <c r="AO7" s="3"/>
      <c r="AP7" s="3"/>
      <c r="AQ7" s="3"/>
      <c r="AR7" s="3"/>
    </row>
    <row r="8" spans="1:44" x14ac:dyDescent="0.25">
      <c r="A8" s="79" t="s">
        <v>102</v>
      </c>
      <c r="B8" s="79" t="s">
        <v>103</v>
      </c>
      <c r="C8" s="79" t="s">
        <v>104</v>
      </c>
      <c r="D8" s="79" t="s">
        <v>105</v>
      </c>
      <c r="E8" s="79" t="s">
        <v>106</v>
      </c>
      <c r="F8" s="79" t="s">
        <v>107</v>
      </c>
      <c r="G8" s="79" t="s">
        <v>29</v>
      </c>
      <c r="H8" s="79" t="s">
        <v>108</v>
      </c>
      <c r="I8" s="79" t="s">
        <v>109</v>
      </c>
      <c r="J8" s="79" t="s">
        <v>110</v>
      </c>
      <c r="K8" s="79" t="s">
        <v>111</v>
      </c>
      <c r="L8" s="79" t="s">
        <v>112</v>
      </c>
      <c r="M8" s="79" t="s">
        <v>113</v>
      </c>
      <c r="N8" s="80" t="s">
        <v>114</v>
      </c>
      <c r="O8" s="80" t="s">
        <v>115</v>
      </c>
      <c r="P8" s="80" t="s">
        <v>116</v>
      </c>
      <c r="Q8" s="80" t="s">
        <v>117</v>
      </c>
      <c r="R8" s="80" t="s">
        <v>118</v>
      </c>
      <c r="S8" s="80" t="s">
        <v>119</v>
      </c>
      <c r="T8" s="80" t="s">
        <v>120</v>
      </c>
      <c r="U8" s="80" t="s">
        <v>121</v>
      </c>
      <c r="V8" s="81" t="s">
        <v>122</v>
      </c>
      <c r="W8" s="81" t="s">
        <v>123</v>
      </c>
      <c r="X8" s="81" t="s">
        <v>124</v>
      </c>
      <c r="Y8" s="81" t="s">
        <v>107</v>
      </c>
      <c r="Z8" s="81" t="s">
        <v>125</v>
      </c>
      <c r="AA8" s="81" t="s">
        <v>126</v>
      </c>
      <c r="AB8" s="82" t="s">
        <v>127</v>
      </c>
      <c r="AC8" s="82" t="s">
        <v>128</v>
      </c>
      <c r="AE8" s="83">
        <f>B9</f>
        <v>43158</v>
      </c>
      <c r="AF8" s="84">
        <f>AB9</f>
        <v>0.72918185795537405</v>
      </c>
      <c r="AG8" s="85">
        <f t="shared" ref="AG8:AH28" si="0">K9</f>
        <v>0.71488417446605301</v>
      </c>
      <c r="AH8" s="85">
        <f t="shared" si="0"/>
        <v>0.79431574940672545</v>
      </c>
      <c r="AI8" s="85">
        <f t="shared" ref="AI8:AI28" si="1">AC9</f>
        <v>0.81020206439486009</v>
      </c>
      <c r="AJ8" s="85">
        <f t="shared" ref="AJ8:AJ28" si="2">M9</f>
        <v>0.8737473243473981</v>
      </c>
      <c r="AN8" s="265" t="s">
        <v>102</v>
      </c>
      <c r="AO8" s="265" t="s">
        <v>103</v>
      </c>
      <c r="AP8" s="265" t="s">
        <v>111</v>
      </c>
      <c r="AQ8" s="265" t="s">
        <v>112</v>
      </c>
      <c r="AR8" s="265" t="s">
        <v>113</v>
      </c>
    </row>
    <row r="9" spans="1:44" x14ac:dyDescent="0.25">
      <c r="A9" s="79">
        <v>1</v>
      </c>
      <c r="B9" s="86">
        <v>43158</v>
      </c>
      <c r="C9" s="79">
        <v>10000</v>
      </c>
      <c r="D9" s="87">
        <f t="shared" ref="D9:D29" si="3">(G9*W9)/Z9</f>
        <v>3.8658000000000001</v>
      </c>
      <c r="E9" s="79">
        <v>3</v>
      </c>
      <c r="F9" s="79">
        <f t="shared" ref="F9:F29" si="4">8*E9</f>
        <v>24</v>
      </c>
      <c r="G9" s="79">
        <v>1020</v>
      </c>
      <c r="H9" s="88">
        <f t="shared" ref="H9:H29" si="5">(D9*V9)/W9</f>
        <v>13988.28</v>
      </c>
      <c r="I9" s="89">
        <f t="shared" ref="I9:I29" si="6">H9*0.9</f>
        <v>12589.452000000001</v>
      </c>
      <c r="J9" s="89">
        <f t="shared" ref="J9:J29" si="7">H9*U9</f>
        <v>11444.956363636364</v>
      </c>
      <c r="K9" s="90">
        <f t="shared" ref="K9:K29" si="8">C9/H9</f>
        <v>0.71488417446605301</v>
      </c>
      <c r="L9" s="91">
        <f t="shared" ref="L9:L29" si="9">C9/I9</f>
        <v>0.79431574940672545</v>
      </c>
      <c r="M9" s="91">
        <f>C9/J9</f>
        <v>0.8737473243473981</v>
      </c>
      <c r="N9" s="92">
        <v>4.1666666666666664E-2</v>
      </c>
      <c r="O9" s="92">
        <v>0.29166666666666669</v>
      </c>
      <c r="P9" s="92">
        <v>0.35416666666666669</v>
      </c>
      <c r="Q9" s="92">
        <f>P9-O9</f>
        <v>6.25E-2</v>
      </c>
      <c r="R9" s="92">
        <v>0.34375</v>
      </c>
      <c r="S9" s="92">
        <f t="shared" ref="S9:S29" si="10">R9-Q9</f>
        <v>0.28125</v>
      </c>
      <c r="T9" s="91">
        <f t="shared" ref="T9:T29" si="11">Q9/R9</f>
        <v>0.18181818181818182</v>
      </c>
      <c r="U9" s="93">
        <f>1-T9</f>
        <v>0.81818181818181812</v>
      </c>
      <c r="V9" s="94">
        <v>13714</v>
      </c>
      <c r="W9" s="94">
        <v>3.79</v>
      </c>
      <c r="X9" s="94">
        <v>3</v>
      </c>
      <c r="Y9" s="94">
        <f>8*X9</f>
        <v>24</v>
      </c>
      <c r="Z9" s="94">
        <v>1000</v>
      </c>
      <c r="AA9" s="95">
        <f>V9*0.9</f>
        <v>12342.6</v>
      </c>
      <c r="AB9" s="84">
        <f t="shared" ref="AB9:AB29" si="12">C9/V9</f>
        <v>0.72918185795537405</v>
      </c>
      <c r="AC9" s="84">
        <f t="shared" ref="AC9:AC29" si="13">C9/AA9</f>
        <v>0.81020206439486009</v>
      </c>
      <c r="AE9" s="83">
        <f>AE8+1</f>
        <v>43159</v>
      </c>
      <c r="AF9" s="84">
        <f>AB10</f>
        <v>0.65626367215983661</v>
      </c>
      <c r="AG9" s="85">
        <f t="shared" si="0"/>
        <v>0.65626367215983661</v>
      </c>
      <c r="AH9" s="85">
        <f t="shared" si="0"/>
        <v>0.72918185795537405</v>
      </c>
      <c r="AI9" s="85">
        <f t="shared" si="1"/>
        <v>0.72918185795537405</v>
      </c>
      <c r="AJ9" s="85">
        <f t="shared" si="2"/>
        <v>0.80210004375091148</v>
      </c>
      <c r="AN9" s="265">
        <v>1</v>
      </c>
      <c r="AO9" s="96">
        <v>43158</v>
      </c>
      <c r="AP9" s="84">
        <v>0.71488417446605301</v>
      </c>
      <c r="AQ9" s="84">
        <v>0.79431574940672545</v>
      </c>
      <c r="AR9" s="84">
        <v>0.8737473243473981</v>
      </c>
    </row>
    <row r="10" spans="1:44" x14ac:dyDescent="0.25">
      <c r="A10" s="79">
        <v>1</v>
      </c>
      <c r="B10" s="86">
        <v>43159</v>
      </c>
      <c r="C10" s="79">
        <f>2500+6500</f>
        <v>9000</v>
      </c>
      <c r="D10" s="97">
        <f t="shared" si="3"/>
        <v>3.79</v>
      </c>
      <c r="E10" s="79">
        <v>3</v>
      </c>
      <c r="F10" s="79">
        <f t="shared" si="4"/>
        <v>24</v>
      </c>
      <c r="G10" s="79">
        <v>1000</v>
      </c>
      <c r="H10" s="98">
        <f t="shared" si="5"/>
        <v>13714</v>
      </c>
      <c r="I10" s="89">
        <f t="shared" si="6"/>
        <v>12342.6</v>
      </c>
      <c r="J10" s="89">
        <f t="shared" si="7"/>
        <v>11220.545454545454</v>
      </c>
      <c r="K10" s="90">
        <f t="shared" si="8"/>
        <v>0.65626367215983661</v>
      </c>
      <c r="L10" s="91">
        <f t="shared" si="9"/>
        <v>0.72918185795537405</v>
      </c>
      <c r="M10" s="91">
        <f t="shared" ref="M10:M24" si="14">C10/J10</f>
        <v>0.80210004375091148</v>
      </c>
      <c r="N10" s="92">
        <v>4.1666666666666664E-2</v>
      </c>
      <c r="O10" s="92">
        <v>0.29166666666666669</v>
      </c>
      <c r="P10" s="92">
        <v>0.35416666666666669</v>
      </c>
      <c r="Q10" s="92">
        <f>P10-O10</f>
        <v>6.25E-2</v>
      </c>
      <c r="R10" s="92">
        <v>0.34375</v>
      </c>
      <c r="S10" s="92">
        <f t="shared" si="10"/>
        <v>0.28125</v>
      </c>
      <c r="T10" s="91">
        <f t="shared" si="11"/>
        <v>0.18181818181818182</v>
      </c>
      <c r="U10" s="93">
        <f t="shared" ref="U10:U29" si="15">1-T10</f>
        <v>0.81818181818181812</v>
      </c>
      <c r="V10" s="94">
        <v>13714</v>
      </c>
      <c r="W10" s="94">
        <v>3.79</v>
      </c>
      <c r="X10" s="94">
        <v>3</v>
      </c>
      <c r="Y10" s="94">
        <f t="shared" ref="Y10:Y29" si="16">8*X10</f>
        <v>24</v>
      </c>
      <c r="Z10" s="94">
        <v>1000</v>
      </c>
      <c r="AA10" s="95">
        <f t="shared" ref="AA10:AA29" si="17">V10*0.9</f>
        <v>12342.6</v>
      </c>
      <c r="AB10" s="84">
        <f t="shared" si="12"/>
        <v>0.65626367215983661</v>
      </c>
      <c r="AC10" s="84">
        <f t="shared" si="13"/>
        <v>0.72918185795537405</v>
      </c>
      <c r="AE10" s="83">
        <f>AE9+1</f>
        <v>43160</v>
      </c>
      <c r="AF10" s="84">
        <f t="shared" ref="AF10:AF28" si="18">AB11</f>
        <v>0.76564095085314277</v>
      </c>
      <c r="AG10" s="85">
        <f t="shared" si="0"/>
        <v>0.76564095085314277</v>
      </c>
      <c r="AH10" s="85">
        <f>L11</f>
        <v>0.85071216761460311</v>
      </c>
      <c r="AI10" s="85">
        <f>AC11</f>
        <v>0.85071216761460311</v>
      </c>
      <c r="AJ10" s="85">
        <f t="shared" si="2"/>
        <v>0.76564095085314277</v>
      </c>
      <c r="AN10" s="265">
        <v>1</v>
      </c>
      <c r="AO10" s="96">
        <v>43159</v>
      </c>
      <c r="AP10" s="84">
        <v>0.65626367215983661</v>
      </c>
      <c r="AQ10" s="84">
        <v>0.72918185795537405</v>
      </c>
      <c r="AR10" s="84">
        <v>0.80210004375091148</v>
      </c>
    </row>
    <row r="11" spans="1:44" x14ac:dyDescent="0.25">
      <c r="A11" s="79">
        <v>1</v>
      </c>
      <c r="B11" s="86">
        <v>43160</v>
      </c>
      <c r="C11" s="79">
        <f>2500+8000</f>
        <v>10500</v>
      </c>
      <c r="D11" s="97">
        <f t="shared" si="3"/>
        <v>3.79</v>
      </c>
      <c r="E11" s="79">
        <v>3</v>
      </c>
      <c r="F11" s="79">
        <f t="shared" si="4"/>
        <v>24</v>
      </c>
      <c r="G11" s="79">
        <v>1000</v>
      </c>
      <c r="H11" s="98">
        <f t="shared" si="5"/>
        <v>13714</v>
      </c>
      <c r="I11" s="89">
        <f t="shared" si="6"/>
        <v>12342.6</v>
      </c>
      <c r="J11" s="89">
        <f t="shared" si="7"/>
        <v>13714</v>
      </c>
      <c r="K11" s="90">
        <f t="shared" si="8"/>
        <v>0.76564095085314277</v>
      </c>
      <c r="L11" s="91">
        <f t="shared" si="9"/>
        <v>0.85071216761460311</v>
      </c>
      <c r="M11" s="91">
        <f t="shared" si="14"/>
        <v>0.76564095085314277</v>
      </c>
      <c r="N11" s="92">
        <v>4.1666666666666664E-2</v>
      </c>
      <c r="O11" s="92">
        <v>0</v>
      </c>
      <c r="P11" s="92">
        <v>0</v>
      </c>
      <c r="Q11" s="99">
        <v>0</v>
      </c>
      <c r="R11" s="92">
        <v>0.34375</v>
      </c>
      <c r="S11" s="92">
        <f t="shared" si="10"/>
        <v>0.34375</v>
      </c>
      <c r="T11" s="91">
        <f t="shared" si="11"/>
        <v>0</v>
      </c>
      <c r="U11" s="93">
        <f t="shared" si="15"/>
        <v>1</v>
      </c>
      <c r="V11" s="94">
        <v>13714</v>
      </c>
      <c r="W11" s="94">
        <v>3.79</v>
      </c>
      <c r="X11" s="94">
        <v>3</v>
      </c>
      <c r="Y11" s="94">
        <f t="shared" si="16"/>
        <v>24</v>
      </c>
      <c r="Z11" s="94">
        <v>1000</v>
      </c>
      <c r="AA11" s="95">
        <f t="shared" si="17"/>
        <v>12342.6</v>
      </c>
      <c r="AB11" s="84">
        <f t="shared" si="12"/>
        <v>0.76564095085314277</v>
      </c>
      <c r="AC11" s="84">
        <f t="shared" si="13"/>
        <v>0.85071216761460311</v>
      </c>
      <c r="AE11" s="83">
        <f>AE10+1</f>
        <v>43161</v>
      </c>
      <c r="AF11" s="84">
        <f t="shared" si="18"/>
        <v>0.80210004375091148</v>
      </c>
      <c r="AG11" s="85">
        <f t="shared" si="0"/>
        <v>0.80210004375091148</v>
      </c>
      <c r="AH11" s="85">
        <f t="shared" si="0"/>
        <v>0.89122227083434602</v>
      </c>
      <c r="AI11" s="85">
        <f t="shared" si="1"/>
        <v>0.89122227083434602</v>
      </c>
      <c r="AJ11" s="85">
        <f t="shared" si="2"/>
        <v>0.80210004375091148</v>
      </c>
      <c r="AN11" s="265">
        <v>1</v>
      </c>
      <c r="AO11" s="96">
        <v>43160</v>
      </c>
      <c r="AP11" s="84">
        <v>0.76564095085314277</v>
      </c>
      <c r="AQ11" s="84">
        <v>0.85071216761460311</v>
      </c>
      <c r="AR11" s="84">
        <v>0.76564095085314277</v>
      </c>
    </row>
    <row r="12" spans="1:44" x14ac:dyDescent="0.25">
      <c r="A12" s="79">
        <v>1</v>
      </c>
      <c r="B12" s="86">
        <v>43161</v>
      </c>
      <c r="C12" s="79">
        <f>5000+6000</f>
        <v>11000</v>
      </c>
      <c r="D12" s="97">
        <f t="shared" si="3"/>
        <v>3.79</v>
      </c>
      <c r="E12" s="79">
        <v>3</v>
      </c>
      <c r="F12" s="79">
        <f t="shared" si="4"/>
        <v>24</v>
      </c>
      <c r="G12" s="79">
        <v>1000</v>
      </c>
      <c r="H12" s="98">
        <f t="shared" si="5"/>
        <v>13714</v>
      </c>
      <c r="I12" s="89">
        <f t="shared" si="6"/>
        <v>12342.6</v>
      </c>
      <c r="J12" s="89">
        <f t="shared" si="7"/>
        <v>13714</v>
      </c>
      <c r="K12" s="90">
        <f t="shared" si="8"/>
        <v>0.80210004375091148</v>
      </c>
      <c r="L12" s="91">
        <f t="shared" si="9"/>
        <v>0.89122227083434602</v>
      </c>
      <c r="M12" s="91">
        <f t="shared" si="14"/>
        <v>0.80210004375091148</v>
      </c>
      <c r="N12" s="92">
        <v>4.1666666666666664E-2</v>
      </c>
      <c r="O12" s="92">
        <v>0</v>
      </c>
      <c r="P12" s="92">
        <v>0</v>
      </c>
      <c r="Q12" s="99">
        <v>0</v>
      </c>
      <c r="R12" s="99">
        <v>0.34375</v>
      </c>
      <c r="S12" s="92">
        <f t="shared" si="10"/>
        <v>0.34375</v>
      </c>
      <c r="T12" s="91">
        <f t="shared" si="11"/>
        <v>0</v>
      </c>
      <c r="U12" s="93">
        <f t="shared" si="15"/>
        <v>1</v>
      </c>
      <c r="V12" s="94">
        <v>13714</v>
      </c>
      <c r="W12" s="94">
        <v>3.79</v>
      </c>
      <c r="X12" s="94">
        <v>3</v>
      </c>
      <c r="Y12" s="94">
        <f t="shared" si="16"/>
        <v>24</v>
      </c>
      <c r="Z12" s="94">
        <v>1000</v>
      </c>
      <c r="AA12" s="95">
        <f t="shared" si="17"/>
        <v>12342.6</v>
      </c>
      <c r="AB12" s="84">
        <f t="shared" si="12"/>
        <v>0.80210004375091148</v>
      </c>
      <c r="AC12" s="84">
        <f t="shared" si="13"/>
        <v>0.89122227083434602</v>
      </c>
      <c r="AE12" s="83">
        <v>43164</v>
      </c>
      <c r="AF12" s="84">
        <f t="shared" si="18"/>
        <v>0.65626367215983661</v>
      </c>
      <c r="AG12" s="85">
        <f t="shared" si="0"/>
        <v>0.65626367215983661</v>
      </c>
      <c r="AH12" s="85">
        <f t="shared" si="0"/>
        <v>0.72918185795537405</v>
      </c>
      <c r="AI12" s="85">
        <f t="shared" si="1"/>
        <v>0.72918185795537405</v>
      </c>
      <c r="AJ12" s="85">
        <f t="shared" si="2"/>
        <v>0.71395718180026191</v>
      </c>
      <c r="AN12" s="265">
        <v>1</v>
      </c>
      <c r="AO12" s="96">
        <v>43161</v>
      </c>
      <c r="AP12" s="84">
        <v>0.80210004375091148</v>
      </c>
      <c r="AQ12" s="84">
        <v>0.89122227083434602</v>
      </c>
      <c r="AR12" s="84">
        <v>0.80210004375091148</v>
      </c>
    </row>
    <row r="13" spans="1:44" x14ac:dyDescent="0.25">
      <c r="A13" s="79">
        <v>1</v>
      </c>
      <c r="B13" s="86">
        <v>43164</v>
      </c>
      <c r="C13" s="79">
        <v>9000</v>
      </c>
      <c r="D13" s="97">
        <f t="shared" si="3"/>
        <v>3.79</v>
      </c>
      <c r="E13" s="79">
        <v>3</v>
      </c>
      <c r="F13" s="79">
        <f t="shared" si="4"/>
        <v>24</v>
      </c>
      <c r="G13" s="79">
        <v>1000</v>
      </c>
      <c r="H13" s="98">
        <f t="shared" si="5"/>
        <v>13714</v>
      </c>
      <c r="I13" s="89">
        <f t="shared" si="6"/>
        <v>12342.6</v>
      </c>
      <c r="J13" s="89">
        <f t="shared" si="7"/>
        <v>12605.797979797979</v>
      </c>
      <c r="K13" s="90">
        <f t="shared" si="8"/>
        <v>0.65626367215983661</v>
      </c>
      <c r="L13" s="91">
        <f t="shared" si="9"/>
        <v>0.72918185795537405</v>
      </c>
      <c r="M13" s="91">
        <f t="shared" si="14"/>
        <v>0.71395718180026191</v>
      </c>
      <c r="N13" s="92">
        <v>4.1666666666666664E-2</v>
      </c>
      <c r="O13" s="92">
        <v>0.29166666666666669</v>
      </c>
      <c r="P13" s="92">
        <v>0.31944444444444448</v>
      </c>
      <c r="Q13" s="99">
        <f>P13-O13</f>
        <v>2.777777777777779E-2</v>
      </c>
      <c r="R13" s="99">
        <v>0.34375</v>
      </c>
      <c r="S13" s="92">
        <f t="shared" si="10"/>
        <v>0.31597222222222221</v>
      </c>
      <c r="T13" s="91">
        <f t="shared" si="11"/>
        <v>8.0808080808080843E-2</v>
      </c>
      <c r="U13" s="93">
        <f t="shared" si="15"/>
        <v>0.91919191919191912</v>
      </c>
      <c r="V13" s="94">
        <v>13714</v>
      </c>
      <c r="W13" s="94">
        <v>3.79</v>
      </c>
      <c r="X13" s="94">
        <v>3</v>
      </c>
      <c r="Y13" s="94">
        <f t="shared" si="16"/>
        <v>24</v>
      </c>
      <c r="Z13" s="94">
        <v>1000</v>
      </c>
      <c r="AA13" s="95">
        <f t="shared" si="17"/>
        <v>12342.6</v>
      </c>
      <c r="AB13" s="84">
        <f t="shared" si="12"/>
        <v>0.65626367215983661</v>
      </c>
      <c r="AC13" s="84">
        <f t="shared" si="13"/>
        <v>0.72918185795537405</v>
      </c>
      <c r="AE13" s="83">
        <v>43165</v>
      </c>
      <c r="AF13" s="84">
        <f t="shared" si="18"/>
        <v>0.72918185795537405</v>
      </c>
      <c r="AG13" s="85">
        <f t="shared" si="0"/>
        <v>0.72918185795537405</v>
      </c>
      <c r="AH13" s="85">
        <f t="shared" si="0"/>
        <v>0.81020206439486009</v>
      </c>
      <c r="AI13" s="85">
        <f t="shared" si="1"/>
        <v>0.81020206439486009</v>
      </c>
      <c r="AJ13" s="85">
        <f t="shared" si="2"/>
        <v>0.72918185795537405</v>
      </c>
      <c r="AN13" s="265">
        <v>1</v>
      </c>
      <c r="AO13" s="96">
        <v>43164</v>
      </c>
      <c r="AP13" s="84">
        <v>0.65626367215983661</v>
      </c>
      <c r="AQ13" s="84">
        <v>0.72918185795537405</v>
      </c>
      <c r="AR13" s="84">
        <v>0.71395718180026191</v>
      </c>
    </row>
    <row r="14" spans="1:44" x14ac:dyDescent="0.25">
      <c r="A14" s="79">
        <v>1</v>
      </c>
      <c r="B14" s="86">
        <v>43165</v>
      </c>
      <c r="C14" s="79">
        <v>10000</v>
      </c>
      <c r="D14" s="97">
        <f t="shared" si="3"/>
        <v>3.79</v>
      </c>
      <c r="E14" s="79">
        <v>3</v>
      </c>
      <c r="F14" s="79">
        <f t="shared" si="4"/>
        <v>24</v>
      </c>
      <c r="G14" s="79">
        <v>1000</v>
      </c>
      <c r="H14" s="98">
        <f t="shared" si="5"/>
        <v>13714</v>
      </c>
      <c r="I14" s="89">
        <f t="shared" si="6"/>
        <v>12342.6</v>
      </c>
      <c r="J14" s="89">
        <f t="shared" si="7"/>
        <v>13714</v>
      </c>
      <c r="K14" s="90">
        <f t="shared" si="8"/>
        <v>0.72918185795537405</v>
      </c>
      <c r="L14" s="91">
        <f t="shared" si="9"/>
        <v>0.81020206439486009</v>
      </c>
      <c r="M14" s="91">
        <f t="shared" si="14"/>
        <v>0.72918185795537405</v>
      </c>
      <c r="N14" s="92">
        <v>4.1666666666666664E-2</v>
      </c>
      <c r="O14" s="92">
        <v>0</v>
      </c>
      <c r="P14" s="92">
        <v>0</v>
      </c>
      <c r="Q14" s="99">
        <v>0</v>
      </c>
      <c r="R14" s="99">
        <v>0.34375</v>
      </c>
      <c r="S14" s="99">
        <f t="shared" si="10"/>
        <v>0.34375</v>
      </c>
      <c r="T14" s="100">
        <f t="shared" si="11"/>
        <v>0</v>
      </c>
      <c r="U14" s="100">
        <f t="shared" si="15"/>
        <v>1</v>
      </c>
      <c r="V14" s="94">
        <v>13714</v>
      </c>
      <c r="W14" s="94">
        <v>3.79</v>
      </c>
      <c r="X14" s="94">
        <v>3</v>
      </c>
      <c r="Y14" s="94">
        <f t="shared" si="16"/>
        <v>24</v>
      </c>
      <c r="Z14" s="94">
        <v>1000</v>
      </c>
      <c r="AA14" s="95">
        <f t="shared" si="17"/>
        <v>12342.6</v>
      </c>
      <c r="AB14" s="84">
        <f t="shared" si="12"/>
        <v>0.72918185795537405</v>
      </c>
      <c r="AC14" s="84">
        <f t="shared" si="13"/>
        <v>0.81020206439486009</v>
      </c>
      <c r="AE14" s="83">
        <v>43166</v>
      </c>
      <c r="AF14" s="84">
        <f t="shared" si="18"/>
        <v>0.66574303631325649</v>
      </c>
      <c r="AG14" s="85">
        <f t="shared" si="0"/>
        <v>0.66574303631325649</v>
      </c>
      <c r="AH14" s="85">
        <f t="shared" si="0"/>
        <v>0.73971448479250723</v>
      </c>
      <c r="AI14" s="85">
        <f t="shared" si="1"/>
        <v>0.73971448479250723</v>
      </c>
      <c r="AJ14" s="85">
        <f t="shared" si="2"/>
        <v>0.66574303631325649</v>
      </c>
      <c r="AN14" s="265">
        <v>1</v>
      </c>
      <c r="AO14" s="96">
        <v>43165</v>
      </c>
      <c r="AP14" s="84">
        <v>0.72918185795537405</v>
      </c>
      <c r="AQ14" s="84">
        <v>0.81020206439486009</v>
      </c>
      <c r="AR14" s="84">
        <v>0.72918185795537405</v>
      </c>
    </row>
    <row r="15" spans="1:44" x14ac:dyDescent="0.25">
      <c r="A15" s="79">
        <v>2</v>
      </c>
      <c r="B15" s="86">
        <v>43166</v>
      </c>
      <c r="C15" s="79">
        <f>4980+4150</f>
        <v>9130</v>
      </c>
      <c r="D15" s="97">
        <f t="shared" si="3"/>
        <v>3.79</v>
      </c>
      <c r="E15" s="79">
        <v>3</v>
      </c>
      <c r="F15" s="79">
        <f t="shared" si="4"/>
        <v>24</v>
      </c>
      <c r="G15" s="79">
        <v>1000</v>
      </c>
      <c r="H15" s="98">
        <f t="shared" si="5"/>
        <v>13714</v>
      </c>
      <c r="I15" s="89">
        <f t="shared" si="6"/>
        <v>12342.6</v>
      </c>
      <c r="J15" s="89">
        <f t="shared" si="7"/>
        <v>13714</v>
      </c>
      <c r="K15" s="90">
        <f t="shared" si="8"/>
        <v>0.66574303631325649</v>
      </c>
      <c r="L15" s="91">
        <f t="shared" si="9"/>
        <v>0.73971448479250723</v>
      </c>
      <c r="M15" s="91">
        <f t="shared" si="14"/>
        <v>0.66574303631325649</v>
      </c>
      <c r="N15" s="92">
        <v>4.1666666666666664E-2</v>
      </c>
      <c r="O15" s="92">
        <v>0</v>
      </c>
      <c r="P15" s="92">
        <v>0</v>
      </c>
      <c r="Q15" s="99">
        <v>0</v>
      </c>
      <c r="R15" s="99">
        <v>0.34375</v>
      </c>
      <c r="S15" s="99">
        <f t="shared" si="10"/>
        <v>0.34375</v>
      </c>
      <c r="T15" s="100">
        <f t="shared" si="11"/>
        <v>0</v>
      </c>
      <c r="U15" s="100">
        <f t="shared" si="15"/>
        <v>1</v>
      </c>
      <c r="V15" s="94">
        <v>13714</v>
      </c>
      <c r="W15" s="94">
        <v>3.79</v>
      </c>
      <c r="X15" s="94">
        <v>3</v>
      </c>
      <c r="Y15" s="94">
        <f t="shared" si="16"/>
        <v>24</v>
      </c>
      <c r="Z15" s="94">
        <v>1000</v>
      </c>
      <c r="AA15" s="95">
        <f t="shared" si="17"/>
        <v>12342.6</v>
      </c>
      <c r="AB15" s="84">
        <f t="shared" si="12"/>
        <v>0.66574303631325649</v>
      </c>
      <c r="AC15" s="84">
        <f t="shared" si="13"/>
        <v>0.73971448479250723</v>
      </c>
      <c r="AE15" s="83">
        <v>43167</v>
      </c>
      <c r="AF15" s="84">
        <f t="shared" si="18"/>
        <v>0.69272276505760533</v>
      </c>
      <c r="AG15" s="85">
        <f t="shared" si="0"/>
        <v>0.69272276505760533</v>
      </c>
      <c r="AH15" s="85">
        <f t="shared" si="0"/>
        <v>0.76969196117511707</v>
      </c>
      <c r="AI15" s="85">
        <f t="shared" si="1"/>
        <v>0.76969196117511707</v>
      </c>
      <c r="AJ15" s="85">
        <f t="shared" si="2"/>
        <v>1.293953844164206</v>
      </c>
      <c r="AN15" s="265">
        <v>2</v>
      </c>
      <c r="AO15" s="96">
        <v>43166</v>
      </c>
      <c r="AP15" s="84">
        <v>0.66574303631325649</v>
      </c>
      <c r="AQ15" s="84">
        <v>0.73971448479250723</v>
      </c>
      <c r="AR15" s="84">
        <v>0.66574303631325649</v>
      </c>
    </row>
    <row r="16" spans="1:44" x14ac:dyDescent="0.25">
      <c r="A16" s="79">
        <v>2</v>
      </c>
      <c r="B16" s="86">
        <v>43167</v>
      </c>
      <c r="C16" s="79">
        <v>9500</v>
      </c>
      <c r="D16" s="97">
        <f t="shared" si="3"/>
        <v>3.79</v>
      </c>
      <c r="E16" s="79">
        <v>2</v>
      </c>
      <c r="F16" s="79">
        <f t="shared" si="4"/>
        <v>16</v>
      </c>
      <c r="G16" s="79">
        <v>1000</v>
      </c>
      <c r="H16" s="98">
        <f t="shared" si="5"/>
        <v>13714</v>
      </c>
      <c r="I16" s="89">
        <f t="shared" si="6"/>
        <v>12342.6</v>
      </c>
      <c r="J16" s="89">
        <f t="shared" si="7"/>
        <v>7341.8383838383852</v>
      </c>
      <c r="K16" s="90">
        <f t="shared" si="8"/>
        <v>0.69272276505760533</v>
      </c>
      <c r="L16" s="91">
        <f t="shared" si="9"/>
        <v>0.76969196117511707</v>
      </c>
      <c r="M16" s="91">
        <f t="shared" si="14"/>
        <v>1.293953844164206</v>
      </c>
      <c r="N16" s="92">
        <v>4.1666666666666664E-2</v>
      </c>
      <c r="O16" s="92">
        <v>0.29166666666666669</v>
      </c>
      <c r="P16" s="92">
        <v>0.4513888888888889</v>
      </c>
      <c r="Q16" s="99">
        <f>P16-O16</f>
        <v>0.15972222222222221</v>
      </c>
      <c r="R16" s="99">
        <v>0.34375</v>
      </c>
      <c r="S16" s="99">
        <f t="shared" si="10"/>
        <v>0.18402777777777779</v>
      </c>
      <c r="T16" s="91">
        <f t="shared" si="11"/>
        <v>0.46464646464646459</v>
      </c>
      <c r="U16" s="101">
        <f t="shared" si="15"/>
        <v>0.53535353535353547</v>
      </c>
      <c r="V16" s="94">
        <v>13714</v>
      </c>
      <c r="W16" s="94">
        <v>3.79</v>
      </c>
      <c r="X16" s="94">
        <v>3</v>
      </c>
      <c r="Y16" s="94">
        <f t="shared" si="16"/>
        <v>24</v>
      </c>
      <c r="Z16" s="94">
        <v>1000</v>
      </c>
      <c r="AA16" s="95">
        <f t="shared" si="17"/>
        <v>12342.6</v>
      </c>
      <c r="AB16" s="84">
        <f t="shared" si="12"/>
        <v>0.69272276505760533</v>
      </c>
      <c r="AC16" s="84">
        <f t="shared" si="13"/>
        <v>0.76969196117511707</v>
      </c>
      <c r="AE16" s="83">
        <v>43168</v>
      </c>
      <c r="AF16" s="84">
        <f t="shared" si="18"/>
        <v>0.27234942394633221</v>
      </c>
      <c r="AG16" s="85">
        <f t="shared" si="0"/>
        <v>0.22106284411228266</v>
      </c>
      <c r="AH16" s="85">
        <f t="shared" si="0"/>
        <v>0.24562538234698075</v>
      </c>
      <c r="AI16" s="85">
        <f t="shared" si="1"/>
        <v>0.30261047105148026</v>
      </c>
      <c r="AJ16" s="85">
        <f t="shared" si="2"/>
        <v>0.5611595273619483</v>
      </c>
      <c r="AN16" s="265">
        <v>2</v>
      </c>
      <c r="AO16" s="96">
        <v>43167</v>
      </c>
      <c r="AP16" s="84">
        <v>0.69272276505760533</v>
      </c>
      <c r="AQ16" s="84">
        <v>0.76969196117511707</v>
      </c>
      <c r="AR16" s="84">
        <v>1.293953844164206</v>
      </c>
    </row>
    <row r="17" spans="1:44" x14ac:dyDescent="0.25">
      <c r="A17" s="79">
        <v>2</v>
      </c>
      <c r="B17" s="86">
        <v>43168</v>
      </c>
      <c r="C17" s="79">
        <v>3735</v>
      </c>
      <c r="D17" s="102">
        <f t="shared" si="3"/>
        <v>4.6692799999999997</v>
      </c>
      <c r="E17" s="79">
        <v>2</v>
      </c>
      <c r="F17" s="79">
        <f t="shared" si="4"/>
        <v>16</v>
      </c>
      <c r="G17" s="79">
        <v>1232</v>
      </c>
      <c r="H17" s="103">
        <f t="shared" si="5"/>
        <v>16895.647999999997</v>
      </c>
      <c r="I17" s="89">
        <f t="shared" si="6"/>
        <v>15206.083199999997</v>
      </c>
      <c r="J17" s="89">
        <f t="shared" si="7"/>
        <v>6655.8613333333324</v>
      </c>
      <c r="K17" s="90">
        <f t="shared" si="8"/>
        <v>0.22106284411228266</v>
      </c>
      <c r="L17" s="91">
        <f t="shared" si="9"/>
        <v>0.24562538234698075</v>
      </c>
      <c r="M17" s="91">
        <f t="shared" si="14"/>
        <v>0.5611595273619483</v>
      </c>
      <c r="N17" s="92">
        <v>4.1666666666666664E-2</v>
      </c>
      <c r="O17" s="92">
        <v>0.4375</v>
      </c>
      <c r="P17" s="92">
        <v>0.6875</v>
      </c>
      <c r="Q17" s="99">
        <f>P17-O17-N17</f>
        <v>0.20833333333333334</v>
      </c>
      <c r="R17" s="99">
        <v>0.34375</v>
      </c>
      <c r="S17" s="99">
        <f t="shared" si="10"/>
        <v>0.13541666666666666</v>
      </c>
      <c r="T17" s="91">
        <f t="shared" si="11"/>
        <v>0.60606060606060608</v>
      </c>
      <c r="U17" s="101">
        <f t="shared" si="15"/>
        <v>0.39393939393939392</v>
      </c>
      <c r="V17" s="94">
        <v>13714</v>
      </c>
      <c r="W17" s="94">
        <v>3.79</v>
      </c>
      <c r="X17" s="94">
        <v>3</v>
      </c>
      <c r="Y17" s="94">
        <f t="shared" si="16"/>
        <v>24</v>
      </c>
      <c r="Z17" s="94">
        <v>1000</v>
      </c>
      <c r="AA17" s="95">
        <f t="shared" si="17"/>
        <v>12342.6</v>
      </c>
      <c r="AB17" s="84">
        <f t="shared" si="12"/>
        <v>0.27234942394633221</v>
      </c>
      <c r="AC17" s="84">
        <f t="shared" si="13"/>
        <v>0.30261047105148026</v>
      </c>
      <c r="AE17" s="83">
        <v>43171</v>
      </c>
      <c r="AF17" s="84">
        <f t="shared" si="18"/>
        <v>0.90783141315444071</v>
      </c>
      <c r="AG17" s="85">
        <f t="shared" si="0"/>
        <v>0.73687614704094229</v>
      </c>
      <c r="AH17" s="85">
        <f t="shared" si="0"/>
        <v>0.8187512744899359</v>
      </c>
      <c r="AI17" s="85">
        <f t="shared" si="1"/>
        <v>1.0087015701716007</v>
      </c>
      <c r="AJ17" s="85">
        <f t="shared" si="2"/>
        <v>0.83851423628796873</v>
      </c>
      <c r="AN17" s="265">
        <v>2</v>
      </c>
      <c r="AO17" s="96">
        <v>43168</v>
      </c>
      <c r="AP17" s="84">
        <v>0.22106284411228266</v>
      </c>
      <c r="AQ17" s="84">
        <v>0.24562538234698075</v>
      </c>
      <c r="AR17" s="84">
        <v>0.5611595273619483</v>
      </c>
    </row>
    <row r="18" spans="1:44" x14ac:dyDescent="0.25">
      <c r="A18" s="79">
        <v>2</v>
      </c>
      <c r="B18" s="86">
        <v>43171</v>
      </c>
      <c r="C18" s="79">
        <f>6225+6225</f>
        <v>12450</v>
      </c>
      <c r="D18" s="102">
        <f t="shared" si="3"/>
        <v>4.6692799999999997</v>
      </c>
      <c r="E18" s="79">
        <v>2</v>
      </c>
      <c r="F18" s="79">
        <f t="shared" si="4"/>
        <v>16</v>
      </c>
      <c r="G18" s="79">
        <v>1232</v>
      </c>
      <c r="H18" s="103">
        <f t="shared" si="5"/>
        <v>16895.647999999997</v>
      </c>
      <c r="I18" s="89">
        <f t="shared" si="6"/>
        <v>15206.083199999997</v>
      </c>
      <c r="J18" s="89">
        <f t="shared" si="7"/>
        <v>14847.690666666665</v>
      </c>
      <c r="K18" s="90">
        <f t="shared" si="8"/>
        <v>0.73687614704094229</v>
      </c>
      <c r="L18" s="91">
        <f t="shared" si="9"/>
        <v>0.8187512744899359</v>
      </c>
      <c r="M18" s="91">
        <f t="shared" si="14"/>
        <v>0.83851423628796873</v>
      </c>
      <c r="N18" s="92">
        <v>4.1666666666666664E-2</v>
      </c>
      <c r="O18" s="92">
        <v>0.29166666666666669</v>
      </c>
      <c r="P18" s="92">
        <v>0.33333333333333331</v>
      </c>
      <c r="Q18" s="99">
        <f t="shared" ref="Q18:Q24" si="19">P18-O18</f>
        <v>4.166666666666663E-2</v>
      </c>
      <c r="R18" s="99">
        <v>0.34375</v>
      </c>
      <c r="S18" s="99">
        <f t="shared" si="10"/>
        <v>0.30208333333333337</v>
      </c>
      <c r="T18" s="91">
        <f t="shared" si="11"/>
        <v>0.1212121212121211</v>
      </c>
      <c r="U18" s="101">
        <f t="shared" si="15"/>
        <v>0.8787878787878789</v>
      </c>
      <c r="V18" s="94">
        <v>13714</v>
      </c>
      <c r="W18" s="94">
        <v>3.79</v>
      </c>
      <c r="X18" s="94">
        <v>3</v>
      </c>
      <c r="Y18" s="94">
        <f t="shared" si="16"/>
        <v>24</v>
      </c>
      <c r="Z18" s="94">
        <v>1000</v>
      </c>
      <c r="AA18" s="95">
        <f t="shared" si="17"/>
        <v>12342.6</v>
      </c>
      <c r="AB18" s="84">
        <f t="shared" si="12"/>
        <v>0.90783141315444071</v>
      </c>
      <c r="AC18" s="84">
        <f t="shared" si="13"/>
        <v>1.0087015701716007</v>
      </c>
      <c r="AE18" s="83">
        <v>43172</v>
      </c>
      <c r="AF18" s="84">
        <f t="shared" si="18"/>
        <v>0.94793641534198625</v>
      </c>
      <c r="AG18" s="85">
        <f t="shared" si="0"/>
        <v>0.76942890855680712</v>
      </c>
      <c r="AH18" s="85">
        <f t="shared" si="0"/>
        <v>0.85492100950756356</v>
      </c>
      <c r="AI18" s="85">
        <f t="shared" si="1"/>
        <v>1.0532626837133181</v>
      </c>
      <c r="AJ18" s="85">
        <f t="shared" si="2"/>
        <v>0.76942890855680712</v>
      </c>
      <c r="AN18" s="265">
        <v>2</v>
      </c>
      <c r="AO18" s="96">
        <v>43171</v>
      </c>
      <c r="AP18" s="84">
        <v>0.73687614704094229</v>
      </c>
      <c r="AQ18" s="84">
        <v>0.8187512744899359</v>
      </c>
      <c r="AR18" s="84">
        <v>0.83851423628796873</v>
      </c>
    </row>
    <row r="19" spans="1:44" x14ac:dyDescent="0.25">
      <c r="A19" s="79">
        <v>2</v>
      </c>
      <c r="B19" s="86">
        <v>43172</v>
      </c>
      <c r="C19" s="79">
        <v>13000</v>
      </c>
      <c r="D19" s="102">
        <f t="shared" si="3"/>
        <v>4.6692799999999997</v>
      </c>
      <c r="E19" s="79">
        <v>2</v>
      </c>
      <c r="F19" s="79">
        <f t="shared" si="4"/>
        <v>16</v>
      </c>
      <c r="G19" s="79">
        <v>1232</v>
      </c>
      <c r="H19" s="103">
        <f t="shared" si="5"/>
        <v>16895.647999999997</v>
      </c>
      <c r="I19" s="89">
        <f t="shared" si="6"/>
        <v>15206.083199999997</v>
      </c>
      <c r="J19" s="89">
        <f t="shared" si="7"/>
        <v>16895.647999999997</v>
      </c>
      <c r="K19" s="90">
        <f t="shared" si="8"/>
        <v>0.76942890855680712</v>
      </c>
      <c r="L19" s="91">
        <f t="shared" si="9"/>
        <v>0.85492100950756356</v>
      </c>
      <c r="M19" s="91">
        <f t="shared" si="14"/>
        <v>0.76942890855680712</v>
      </c>
      <c r="N19" s="92">
        <v>4.1666666666666664E-2</v>
      </c>
      <c r="O19" s="92">
        <v>0</v>
      </c>
      <c r="P19" s="92">
        <v>0</v>
      </c>
      <c r="Q19" s="99">
        <f t="shared" si="19"/>
        <v>0</v>
      </c>
      <c r="R19" s="99">
        <v>0.34375</v>
      </c>
      <c r="S19" s="99">
        <f t="shared" si="10"/>
        <v>0.34375</v>
      </c>
      <c r="T19" s="91">
        <f t="shared" si="11"/>
        <v>0</v>
      </c>
      <c r="U19" s="101">
        <f t="shared" si="15"/>
        <v>1</v>
      </c>
      <c r="V19" s="94">
        <v>13714</v>
      </c>
      <c r="W19" s="94">
        <v>3.79</v>
      </c>
      <c r="X19" s="94">
        <v>3</v>
      </c>
      <c r="Y19" s="94">
        <f t="shared" si="16"/>
        <v>24</v>
      </c>
      <c r="Z19" s="94">
        <v>1000</v>
      </c>
      <c r="AA19" s="95">
        <f t="shared" si="17"/>
        <v>12342.6</v>
      </c>
      <c r="AB19" s="84">
        <f t="shared" si="12"/>
        <v>0.94793641534198625</v>
      </c>
      <c r="AC19" s="84">
        <f t="shared" si="13"/>
        <v>1.0532626837133181</v>
      </c>
      <c r="AE19" s="83">
        <v>43173</v>
      </c>
      <c r="AF19" s="84">
        <f t="shared" si="18"/>
        <v>0.56876184920519179</v>
      </c>
      <c r="AG19" s="85">
        <f t="shared" si="0"/>
        <v>0.4616573451340843</v>
      </c>
      <c r="AH19" s="85">
        <f t="shared" si="0"/>
        <v>0.51295260570453816</v>
      </c>
      <c r="AI19" s="85">
        <f t="shared" si="1"/>
        <v>0.6319576102279908</v>
      </c>
      <c r="AJ19" s="85">
        <f t="shared" si="2"/>
        <v>1.1718994145711368</v>
      </c>
      <c r="AN19" s="265">
        <v>2</v>
      </c>
      <c r="AO19" s="96">
        <v>43172</v>
      </c>
      <c r="AP19" s="84">
        <v>0.76942890855680712</v>
      </c>
      <c r="AQ19" s="84">
        <v>0.85492100950756356</v>
      </c>
      <c r="AR19" s="84">
        <v>0.76942890855680712</v>
      </c>
    </row>
    <row r="20" spans="1:44" x14ac:dyDescent="0.25">
      <c r="A20" s="79">
        <v>2</v>
      </c>
      <c r="B20" s="86">
        <v>43173</v>
      </c>
      <c r="C20" s="79">
        <v>7800</v>
      </c>
      <c r="D20" s="102">
        <f t="shared" si="3"/>
        <v>4.6692799999999997</v>
      </c>
      <c r="E20" s="79">
        <v>3</v>
      </c>
      <c r="F20" s="79">
        <f t="shared" si="4"/>
        <v>24</v>
      </c>
      <c r="G20" s="79">
        <v>1232</v>
      </c>
      <c r="H20" s="103">
        <f t="shared" si="5"/>
        <v>16895.647999999997</v>
      </c>
      <c r="I20" s="89">
        <f t="shared" si="6"/>
        <v>15206.083199999997</v>
      </c>
      <c r="J20" s="89">
        <f t="shared" si="7"/>
        <v>6655.8613333333342</v>
      </c>
      <c r="K20" s="90">
        <f t="shared" si="8"/>
        <v>0.4616573451340843</v>
      </c>
      <c r="L20" s="91">
        <f t="shared" si="9"/>
        <v>0.51295260570453816</v>
      </c>
      <c r="M20" s="91">
        <f t="shared" si="14"/>
        <v>1.1718994145711368</v>
      </c>
      <c r="N20" s="92">
        <v>4.1666666666666664E-2</v>
      </c>
      <c r="O20" s="92">
        <v>0.29166666666666669</v>
      </c>
      <c r="P20" s="92">
        <v>0.5</v>
      </c>
      <c r="Q20" s="99">
        <f t="shared" si="19"/>
        <v>0.20833333333333331</v>
      </c>
      <c r="R20" s="99">
        <v>0.34375</v>
      </c>
      <c r="S20" s="99">
        <f t="shared" si="10"/>
        <v>0.13541666666666669</v>
      </c>
      <c r="T20" s="91">
        <f t="shared" si="11"/>
        <v>0.60606060606060597</v>
      </c>
      <c r="U20" s="101">
        <f t="shared" si="15"/>
        <v>0.39393939393939403</v>
      </c>
      <c r="V20" s="94">
        <v>13714</v>
      </c>
      <c r="W20" s="94">
        <v>3.79</v>
      </c>
      <c r="X20" s="94">
        <v>3</v>
      </c>
      <c r="Y20" s="94">
        <f t="shared" si="16"/>
        <v>24</v>
      </c>
      <c r="Z20" s="94">
        <v>1000</v>
      </c>
      <c r="AA20" s="95">
        <f t="shared" si="17"/>
        <v>12342.6</v>
      </c>
      <c r="AB20" s="84">
        <f t="shared" si="12"/>
        <v>0.56876184920519179</v>
      </c>
      <c r="AC20" s="84">
        <f t="shared" si="13"/>
        <v>0.6319576102279908</v>
      </c>
      <c r="AE20" s="83">
        <v>43174</v>
      </c>
      <c r="AF20" s="84">
        <f t="shared" si="18"/>
        <v>0.93335277818287876</v>
      </c>
      <c r="AG20" s="85">
        <f t="shared" si="0"/>
        <v>0.75759154073285628</v>
      </c>
      <c r="AH20" s="85">
        <f t="shared" si="0"/>
        <v>0.84176837859206255</v>
      </c>
      <c r="AI20" s="85">
        <f t="shared" si="1"/>
        <v>1.0370586424254209</v>
      </c>
      <c r="AJ20" s="85">
        <f t="shared" si="2"/>
        <v>0.86208692566152623</v>
      </c>
      <c r="AN20" s="265">
        <v>2</v>
      </c>
      <c r="AO20" s="96">
        <v>43173</v>
      </c>
      <c r="AP20" s="84">
        <v>0.4616573451340843</v>
      </c>
      <c r="AQ20" s="84">
        <v>0.51295260570453816</v>
      </c>
      <c r="AR20" s="84">
        <v>1.1718994145711368</v>
      </c>
    </row>
    <row r="21" spans="1:44" x14ac:dyDescent="0.25">
      <c r="A21" s="79">
        <v>2</v>
      </c>
      <c r="B21" s="86">
        <v>43174</v>
      </c>
      <c r="C21" s="79">
        <v>12800</v>
      </c>
      <c r="D21" s="102">
        <f t="shared" si="3"/>
        <v>4.6692799999999997</v>
      </c>
      <c r="E21" s="79">
        <v>2</v>
      </c>
      <c r="F21" s="79">
        <f t="shared" si="4"/>
        <v>16</v>
      </c>
      <c r="G21" s="79">
        <v>1232</v>
      </c>
      <c r="H21" s="103">
        <f t="shared" si="5"/>
        <v>16895.647999999997</v>
      </c>
      <c r="I21" s="89">
        <f t="shared" si="6"/>
        <v>15206.083199999997</v>
      </c>
      <c r="J21" s="89">
        <f t="shared" si="7"/>
        <v>14847.690666666662</v>
      </c>
      <c r="K21" s="90">
        <f t="shared" si="8"/>
        <v>0.75759154073285628</v>
      </c>
      <c r="L21" s="91">
        <f t="shared" si="9"/>
        <v>0.84176837859206255</v>
      </c>
      <c r="M21" s="91">
        <f t="shared" si="14"/>
        <v>0.86208692566152623</v>
      </c>
      <c r="N21" s="92">
        <v>4.1666666666666664E-2</v>
      </c>
      <c r="O21" s="92">
        <v>0.45833333333333331</v>
      </c>
      <c r="P21" s="92">
        <v>0.5</v>
      </c>
      <c r="Q21" s="99">
        <f t="shared" si="19"/>
        <v>4.1666666666666685E-2</v>
      </c>
      <c r="R21" s="99">
        <v>0.34375</v>
      </c>
      <c r="S21" s="99">
        <f t="shared" si="10"/>
        <v>0.30208333333333331</v>
      </c>
      <c r="T21" s="91">
        <f t="shared" si="11"/>
        <v>0.12121212121212127</v>
      </c>
      <c r="U21" s="101">
        <f t="shared" si="15"/>
        <v>0.87878787878787867</v>
      </c>
      <c r="V21" s="94">
        <v>13714</v>
      </c>
      <c r="W21" s="94">
        <v>3.79</v>
      </c>
      <c r="X21" s="94">
        <v>3</v>
      </c>
      <c r="Y21" s="94">
        <f t="shared" si="16"/>
        <v>24</v>
      </c>
      <c r="Z21" s="94">
        <v>1000</v>
      </c>
      <c r="AA21" s="95">
        <f t="shared" si="17"/>
        <v>12342.6</v>
      </c>
      <c r="AB21" s="84">
        <f t="shared" si="12"/>
        <v>0.93335277818287876</v>
      </c>
      <c r="AC21" s="84">
        <f t="shared" si="13"/>
        <v>1.0370586424254209</v>
      </c>
      <c r="AE21" s="83">
        <v>43175</v>
      </c>
      <c r="AF21" s="84">
        <f t="shared" si="18"/>
        <v>0.66574303631325649</v>
      </c>
      <c r="AG21" s="85">
        <f t="shared" si="0"/>
        <v>0.54037584116335768</v>
      </c>
      <c r="AH21" s="85">
        <f t="shared" si="0"/>
        <v>0.60041760129261967</v>
      </c>
      <c r="AI21" s="85">
        <f t="shared" si="1"/>
        <v>0.73971448479250723</v>
      </c>
      <c r="AJ21" s="85">
        <f t="shared" si="2"/>
        <v>0.77532185906046958</v>
      </c>
      <c r="AN21" s="265">
        <v>2</v>
      </c>
      <c r="AO21" s="96">
        <v>43174</v>
      </c>
      <c r="AP21" s="84">
        <v>0.75759154073285628</v>
      </c>
      <c r="AQ21" s="84">
        <v>0.84176837859206255</v>
      </c>
      <c r="AR21" s="84">
        <v>0.86208692566152623</v>
      </c>
    </row>
    <row r="22" spans="1:44" x14ac:dyDescent="0.25">
      <c r="A22" s="79">
        <v>2</v>
      </c>
      <c r="B22" s="86">
        <v>43175</v>
      </c>
      <c r="C22" s="79">
        <f>2905+6225</f>
        <v>9130</v>
      </c>
      <c r="D22" s="102">
        <f t="shared" si="3"/>
        <v>4.6692799999999997</v>
      </c>
      <c r="E22" s="79">
        <v>2</v>
      </c>
      <c r="F22" s="79">
        <f t="shared" si="4"/>
        <v>16</v>
      </c>
      <c r="G22" s="79">
        <v>1232</v>
      </c>
      <c r="H22" s="103">
        <f t="shared" si="5"/>
        <v>16895.647999999997</v>
      </c>
      <c r="I22" s="89">
        <f t="shared" si="6"/>
        <v>15206.083199999997</v>
      </c>
      <c r="J22" s="89">
        <f t="shared" si="7"/>
        <v>11775.754666666666</v>
      </c>
      <c r="K22" s="90">
        <f t="shared" si="8"/>
        <v>0.54037584116335768</v>
      </c>
      <c r="L22" s="91">
        <f t="shared" si="9"/>
        <v>0.60041760129261967</v>
      </c>
      <c r="M22" s="91">
        <f t="shared" si="14"/>
        <v>0.77532185906046958</v>
      </c>
      <c r="N22" s="92">
        <v>4.1666666666666664E-2</v>
      </c>
      <c r="O22" s="92">
        <v>0.29166666666666669</v>
      </c>
      <c r="P22" s="92">
        <v>0.39583333333333331</v>
      </c>
      <c r="Q22" s="99">
        <f t="shared" si="19"/>
        <v>0.10416666666666663</v>
      </c>
      <c r="R22" s="99">
        <v>0.34375</v>
      </c>
      <c r="S22" s="99">
        <f t="shared" si="10"/>
        <v>0.23958333333333337</v>
      </c>
      <c r="T22" s="91">
        <f t="shared" si="11"/>
        <v>0.30303030303030293</v>
      </c>
      <c r="U22" s="101">
        <f t="shared" si="15"/>
        <v>0.69696969696969702</v>
      </c>
      <c r="V22" s="94">
        <v>13714</v>
      </c>
      <c r="W22" s="94">
        <v>3.79</v>
      </c>
      <c r="X22" s="94">
        <v>3</v>
      </c>
      <c r="Y22" s="94">
        <f t="shared" si="16"/>
        <v>24</v>
      </c>
      <c r="Z22" s="94">
        <v>1000</v>
      </c>
      <c r="AA22" s="95">
        <f t="shared" si="17"/>
        <v>12342.6</v>
      </c>
      <c r="AB22" s="84">
        <f t="shared" si="12"/>
        <v>0.66574303631325649</v>
      </c>
      <c r="AC22" s="84">
        <f t="shared" si="13"/>
        <v>0.73971448479250723</v>
      </c>
      <c r="AE22" s="83">
        <v>43178</v>
      </c>
      <c r="AF22" s="84">
        <f t="shared" si="18"/>
        <v>0.8097564532594429</v>
      </c>
      <c r="AG22" s="85">
        <f t="shared" si="0"/>
        <v>0.65726984842487257</v>
      </c>
      <c r="AH22" s="85">
        <f t="shared" si="0"/>
        <v>0.73029983158319178</v>
      </c>
      <c r="AI22" s="85">
        <f t="shared" si="1"/>
        <v>0.89972939251049211</v>
      </c>
      <c r="AJ22" s="85">
        <f t="shared" si="2"/>
        <v>1.0808922756488766</v>
      </c>
      <c r="AN22" s="265">
        <v>2</v>
      </c>
      <c r="AO22" s="96">
        <v>43175</v>
      </c>
      <c r="AP22" s="84">
        <v>0.54037584116335768</v>
      </c>
      <c r="AQ22" s="84">
        <v>0.60041760129261967</v>
      </c>
      <c r="AR22" s="84">
        <v>0.77532185906046958</v>
      </c>
    </row>
    <row r="23" spans="1:44" x14ac:dyDescent="0.25">
      <c r="A23" s="79">
        <v>2</v>
      </c>
      <c r="B23" s="86">
        <v>43178</v>
      </c>
      <c r="C23" s="79">
        <f>5710+5395</f>
        <v>11105</v>
      </c>
      <c r="D23" s="102">
        <f t="shared" si="3"/>
        <v>4.6692799999999997</v>
      </c>
      <c r="E23" s="79">
        <v>2</v>
      </c>
      <c r="F23" s="79">
        <f t="shared" si="4"/>
        <v>16</v>
      </c>
      <c r="G23" s="79">
        <v>1232</v>
      </c>
      <c r="H23" s="103">
        <f t="shared" si="5"/>
        <v>16895.647999999997</v>
      </c>
      <c r="I23" s="89">
        <f t="shared" si="6"/>
        <v>15206.083199999997</v>
      </c>
      <c r="J23" s="89">
        <f t="shared" si="7"/>
        <v>10273.91928888889</v>
      </c>
      <c r="K23" s="90">
        <f t="shared" si="8"/>
        <v>0.65726984842487257</v>
      </c>
      <c r="L23" s="91">
        <f t="shared" si="9"/>
        <v>0.73029983158319178</v>
      </c>
      <c r="M23" s="91">
        <f t="shared" si="14"/>
        <v>1.0808922756488766</v>
      </c>
      <c r="N23" s="92">
        <v>4.1666666666666664E-2</v>
      </c>
      <c r="O23" s="92">
        <v>0.29166666666666669</v>
      </c>
      <c r="P23" s="92">
        <v>0.42638888888888887</v>
      </c>
      <c r="Q23" s="99">
        <f t="shared" si="19"/>
        <v>0.13472222222222219</v>
      </c>
      <c r="R23" s="99">
        <v>0.34375</v>
      </c>
      <c r="S23" s="99">
        <f t="shared" si="10"/>
        <v>0.20902777777777781</v>
      </c>
      <c r="T23" s="91">
        <f t="shared" si="11"/>
        <v>0.39191919191919183</v>
      </c>
      <c r="U23" s="101">
        <f t="shared" si="15"/>
        <v>0.60808080808080822</v>
      </c>
      <c r="V23" s="94">
        <v>13714</v>
      </c>
      <c r="W23" s="94">
        <v>3.79</v>
      </c>
      <c r="X23" s="94">
        <v>3</v>
      </c>
      <c r="Y23" s="94">
        <f t="shared" si="16"/>
        <v>24</v>
      </c>
      <c r="Z23" s="94">
        <v>1000</v>
      </c>
      <c r="AA23" s="95">
        <f t="shared" si="17"/>
        <v>12342.6</v>
      </c>
      <c r="AB23" s="84">
        <f t="shared" si="12"/>
        <v>0.8097564532594429</v>
      </c>
      <c r="AC23" s="84">
        <f t="shared" si="13"/>
        <v>0.89972939251049211</v>
      </c>
      <c r="AE23" s="83">
        <v>43179</v>
      </c>
      <c r="AF23" s="84">
        <f t="shared" si="18"/>
        <v>0.51443780078751644</v>
      </c>
      <c r="AG23" s="85">
        <f t="shared" si="0"/>
        <v>0.41756314998986727</v>
      </c>
      <c r="AH23" s="85">
        <f t="shared" si="0"/>
        <v>0.46395905554429701</v>
      </c>
      <c r="AI23" s="85">
        <f t="shared" si="1"/>
        <v>0.57159755643057375</v>
      </c>
      <c r="AJ23" s="85">
        <f t="shared" si="2"/>
        <v>0.87954791168078439</v>
      </c>
      <c r="AN23" s="265">
        <v>2</v>
      </c>
      <c r="AO23" s="96">
        <v>43178</v>
      </c>
      <c r="AP23" s="84">
        <v>0.65726984842487257</v>
      </c>
      <c r="AQ23" s="84">
        <v>0.73029983158319178</v>
      </c>
      <c r="AR23" s="84">
        <v>1.0808922756488766</v>
      </c>
    </row>
    <row r="24" spans="1:44" x14ac:dyDescent="0.25">
      <c r="A24" s="79">
        <v>2</v>
      </c>
      <c r="B24" s="86">
        <v>43179</v>
      </c>
      <c r="C24" s="79">
        <v>7055</v>
      </c>
      <c r="D24" s="102">
        <f t="shared" si="3"/>
        <v>4.6692799999999997</v>
      </c>
      <c r="E24" s="79">
        <v>2</v>
      </c>
      <c r="F24" s="79">
        <f t="shared" si="4"/>
        <v>16</v>
      </c>
      <c r="G24" s="79">
        <v>1232</v>
      </c>
      <c r="H24" s="103">
        <f t="shared" si="5"/>
        <v>16895.647999999997</v>
      </c>
      <c r="I24" s="89">
        <f t="shared" si="6"/>
        <v>15206.083199999997</v>
      </c>
      <c r="J24" s="89">
        <f t="shared" si="7"/>
        <v>8021.1662222222203</v>
      </c>
      <c r="K24" s="90">
        <f t="shared" si="8"/>
        <v>0.41756314998986727</v>
      </c>
      <c r="L24" s="91">
        <f t="shared" si="9"/>
        <v>0.46395905554429701</v>
      </c>
      <c r="M24" s="91">
        <f t="shared" si="14"/>
        <v>0.87954791168078439</v>
      </c>
      <c r="N24" s="92">
        <v>4.1666666666666664E-2</v>
      </c>
      <c r="O24" s="92">
        <v>0.29166666666666669</v>
      </c>
      <c r="P24" s="92">
        <v>0.47222222222222227</v>
      </c>
      <c r="Q24" s="99">
        <f t="shared" si="19"/>
        <v>0.18055555555555558</v>
      </c>
      <c r="R24" s="99">
        <v>0.34375</v>
      </c>
      <c r="S24" s="99">
        <f t="shared" si="10"/>
        <v>0.16319444444444442</v>
      </c>
      <c r="T24" s="91">
        <f t="shared" si="11"/>
        <v>0.5252525252525253</v>
      </c>
      <c r="U24" s="101">
        <f t="shared" si="15"/>
        <v>0.4747474747474747</v>
      </c>
      <c r="V24" s="94">
        <v>13714</v>
      </c>
      <c r="W24" s="94">
        <v>3.79</v>
      </c>
      <c r="X24" s="94">
        <v>3</v>
      </c>
      <c r="Y24" s="94">
        <f t="shared" si="16"/>
        <v>24</v>
      </c>
      <c r="Z24" s="94">
        <v>1000</v>
      </c>
      <c r="AA24" s="95">
        <f t="shared" si="17"/>
        <v>12342.6</v>
      </c>
      <c r="AB24" s="84">
        <f t="shared" si="12"/>
        <v>0.51443780078751644</v>
      </c>
      <c r="AC24" s="84">
        <f t="shared" si="13"/>
        <v>0.57159755643057375</v>
      </c>
      <c r="AE24" s="83">
        <v>43180</v>
      </c>
      <c r="AF24" s="84">
        <f t="shared" si="18"/>
        <v>0</v>
      </c>
      <c r="AG24" s="85">
        <f t="shared" si="0"/>
        <v>0</v>
      </c>
      <c r="AH24" s="85">
        <f t="shared" si="0"/>
        <v>0</v>
      </c>
      <c r="AI24" s="85">
        <f t="shared" si="1"/>
        <v>0</v>
      </c>
      <c r="AJ24" s="85">
        <f t="shared" si="2"/>
        <v>0</v>
      </c>
      <c r="AN24" s="265">
        <v>2</v>
      </c>
      <c r="AO24" s="96">
        <v>43179</v>
      </c>
      <c r="AP24" s="84">
        <v>0.41756314998986727</v>
      </c>
      <c r="AQ24" s="84">
        <v>0.46395905554429701</v>
      </c>
      <c r="AR24" s="84">
        <v>0.87954791168078439</v>
      </c>
    </row>
    <row r="25" spans="1:44" x14ac:dyDescent="0.25">
      <c r="A25" s="79">
        <v>2</v>
      </c>
      <c r="B25" s="86">
        <v>43180</v>
      </c>
      <c r="C25" s="79">
        <v>0</v>
      </c>
      <c r="D25" s="102">
        <f t="shared" si="3"/>
        <v>4.6692799999999997</v>
      </c>
      <c r="E25" s="79">
        <v>2</v>
      </c>
      <c r="F25" s="79">
        <f t="shared" si="4"/>
        <v>16</v>
      </c>
      <c r="G25" s="79">
        <v>1232</v>
      </c>
      <c r="H25" s="103">
        <f t="shared" si="5"/>
        <v>16895.647999999997</v>
      </c>
      <c r="I25" s="89">
        <f t="shared" si="6"/>
        <v>15206.083199999997</v>
      </c>
      <c r="J25" s="89">
        <f t="shared" si="7"/>
        <v>0</v>
      </c>
      <c r="K25" s="90">
        <f t="shared" si="8"/>
        <v>0</v>
      </c>
      <c r="L25" s="91">
        <f t="shared" si="9"/>
        <v>0</v>
      </c>
      <c r="M25" s="91">
        <v>0</v>
      </c>
      <c r="N25" s="92">
        <v>4.1666666666666664E-2</v>
      </c>
      <c r="O25" s="92">
        <v>0.29166666666666669</v>
      </c>
      <c r="P25" s="92">
        <v>0.67708333333333337</v>
      </c>
      <c r="Q25" s="99">
        <f>P25-O25-N25</f>
        <v>0.34375</v>
      </c>
      <c r="R25" s="99">
        <v>0.34375</v>
      </c>
      <c r="S25" s="99">
        <f t="shared" si="10"/>
        <v>0</v>
      </c>
      <c r="T25" s="91">
        <f t="shared" si="11"/>
        <v>1</v>
      </c>
      <c r="U25" s="101">
        <f t="shared" si="15"/>
        <v>0</v>
      </c>
      <c r="V25" s="94">
        <v>13714</v>
      </c>
      <c r="W25" s="94">
        <v>3.79</v>
      </c>
      <c r="X25" s="94">
        <v>3</v>
      </c>
      <c r="Y25" s="94">
        <f t="shared" si="16"/>
        <v>24</v>
      </c>
      <c r="Z25" s="94">
        <v>1000</v>
      </c>
      <c r="AA25" s="95">
        <f t="shared" si="17"/>
        <v>12342.6</v>
      </c>
      <c r="AB25" s="84">
        <f t="shared" si="12"/>
        <v>0</v>
      </c>
      <c r="AC25" s="84">
        <f t="shared" si="13"/>
        <v>0</v>
      </c>
      <c r="AE25" s="83">
        <v>43181</v>
      </c>
      <c r="AF25" s="84">
        <f t="shared" si="18"/>
        <v>0.53959457488697682</v>
      </c>
      <c r="AG25" s="85">
        <f t="shared" si="0"/>
        <v>0.43798260948618256</v>
      </c>
      <c r="AH25" s="85">
        <f t="shared" si="0"/>
        <v>0.4866473438735362</v>
      </c>
      <c r="AI25" s="85">
        <f t="shared" si="1"/>
        <v>0.59954952765219649</v>
      </c>
      <c r="AJ25" s="85">
        <f t="shared" si="2"/>
        <v>0.9225591135985548</v>
      </c>
      <c r="AN25" s="265">
        <v>2</v>
      </c>
      <c r="AO25" s="96">
        <v>43180</v>
      </c>
      <c r="AP25" s="84">
        <v>0</v>
      </c>
      <c r="AQ25" s="84">
        <v>0</v>
      </c>
      <c r="AR25" s="84">
        <v>0</v>
      </c>
    </row>
    <row r="26" spans="1:44" x14ac:dyDescent="0.25">
      <c r="A26" s="79">
        <v>2</v>
      </c>
      <c r="B26" s="86">
        <v>43181</v>
      </c>
      <c r="C26" s="79">
        <v>7400</v>
      </c>
      <c r="D26" s="102">
        <f t="shared" si="3"/>
        <v>4.6692799999999997</v>
      </c>
      <c r="E26" s="79">
        <v>2</v>
      </c>
      <c r="F26" s="79">
        <f t="shared" si="4"/>
        <v>16</v>
      </c>
      <c r="G26" s="79">
        <v>1232</v>
      </c>
      <c r="H26" s="103">
        <f t="shared" si="5"/>
        <v>16895.647999999997</v>
      </c>
      <c r="I26" s="89">
        <f t="shared" si="6"/>
        <v>15206.083199999997</v>
      </c>
      <c r="J26" s="89">
        <f t="shared" si="7"/>
        <v>8021.1662222222203</v>
      </c>
      <c r="K26" s="90">
        <f t="shared" si="8"/>
        <v>0.43798260948618256</v>
      </c>
      <c r="L26" s="91">
        <f t="shared" si="9"/>
        <v>0.4866473438735362</v>
      </c>
      <c r="M26" s="91">
        <f>C26/J26</f>
        <v>0.9225591135985548</v>
      </c>
      <c r="N26" s="92">
        <v>4.1666666666666664E-2</v>
      </c>
      <c r="O26" s="92">
        <v>0.29166666666666669</v>
      </c>
      <c r="P26" s="92">
        <v>0.47222222222222227</v>
      </c>
      <c r="Q26" s="99">
        <f>P26-O26</f>
        <v>0.18055555555555558</v>
      </c>
      <c r="R26" s="99">
        <v>0.34375</v>
      </c>
      <c r="S26" s="99">
        <f t="shared" si="10"/>
        <v>0.16319444444444442</v>
      </c>
      <c r="T26" s="91">
        <f t="shared" si="11"/>
        <v>0.5252525252525253</v>
      </c>
      <c r="U26" s="101">
        <f t="shared" si="15"/>
        <v>0.4747474747474747</v>
      </c>
      <c r="V26" s="94">
        <v>13714</v>
      </c>
      <c r="W26" s="94">
        <v>3.79</v>
      </c>
      <c r="X26" s="94">
        <v>3</v>
      </c>
      <c r="Y26" s="94">
        <f t="shared" si="16"/>
        <v>24</v>
      </c>
      <c r="Z26" s="94">
        <v>1000</v>
      </c>
      <c r="AA26" s="95">
        <f t="shared" si="17"/>
        <v>12342.6</v>
      </c>
      <c r="AB26" s="84">
        <f t="shared" si="12"/>
        <v>0.53959457488697682</v>
      </c>
      <c r="AC26" s="84">
        <f t="shared" si="13"/>
        <v>0.59954952765219649</v>
      </c>
      <c r="AE26" s="83">
        <v>43182</v>
      </c>
      <c r="AF26" s="84">
        <f t="shared" si="18"/>
        <v>0.75105731369403528</v>
      </c>
      <c r="AG26" s="85">
        <f t="shared" si="0"/>
        <v>0.60962444293347029</v>
      </c>
      <c r="AH26" s="85">
        <f t="shared" si="0"/>
        <v>0.6773604921483003</v>
      </c>
      <c r="AI26" s="85">
        <f t="shared" si="1"/>
        <v>0.8345081263267059</v>
      </c>
      <c r="AJ26" s="85">
        <f t="shared" si="2"/>
        <v>0.79411605066333624</v>
      </c>
      <c r="AN26" s="265">
        <v>2</v>
      </c>
      <c r="AO26" s="96">
        <v>43181</v>
      </c>
      <c r="AP26" s="84">
        <v>0.43798260948618256</v>
      </c>
      <c r="AQ26" s="84">
        <v>0.4866473438735362</v>
      </c>
      <c r="AR26" s="84">
        <v>0.9225591135985548</v>
      </c>
    </row>
    <row r="27" spans="1:44" x14ac:dyDescent="0.25">
      <c r="A27" s="79">
        <v>2</v>
      </c>
      <c r="B27" s="86">
        <v>43182</v>
      </c>
      <c r="C27" s="79">
        <v>10300</v>
      </c>
      <c r="D27" s="102">
        <f t="shared" si="3"/>
        <v>4.6692799999999997</v>
      </c>
      <c r="E27" s="79">
        <v>2</v>
      </c>
      <c r="F27" s="79">
        <f t="shared" si="4"/>
        <v>16</v>
      </c>
      <c r="G27" s="79">
        <v>1232</v>
      </c>
      <c r="H27" s="103">
        <f t="shared" si="5"/>
        <v>16895.647999999997</v>
      </c>
      <c r="I27" s="89">
        <f t="shared" si="6"/>
        <v>15206.083199999997</v>
      </c>
      <c r="J27" s="89">
        <f t="shared" si="7"/>
        <v>12970.396444444443</v>
      </c>
      <c r="K27" s="90">
        <f t="shared" si="8"/>
        <v>0.60962444293347029</v>
      </c>
      <c r="L27" s="91">
        <f t="shared" si="9"/>
        <v>0.6773604921483003</v>
      </c>
      <c r="M27" s="91">
        <f>C27/J27</f>
        <v>0.79411605066333624</v>
      </c>
      <c r="N27" s="92">
        <v>4.1666666666666664E-2</v>
      </c>
      <c r="O27" s="92">
        <v>0.3576388888888889</v>
      </c>
      <c r="P27" s="92">
        <v>0.4375</v>
      </c>
      <c r="Q27" s="99">
        <f>P27-O27</f>
        <v>7.9861111111111105E-2</v>
      </c>
      <c r="R27" s="99">
        <v>0.34375</v>
      </c>
      <c r="S27" s="99">
        <f t="shared" si="10"/>
        <v>0.2638888888888889</v>
      </c>
      <c r="T27" s="91">
        <f t="shared" si="11"/>
        <v>0.23232323232323229</v>
      </c>
      <c r="U27" s="101">
        <f t="shared" si="15"/>
        <v>0.76767676767676774</v>
      </c>
      <c r="V27" s="94">
        <v>13714</v>
      </c>
      <c r="W27" s="94">
        <v>3.79</v>
      </c>
      <c r="X27" s="94">
        <v>3</v>
      </c>
      <c r="Y27" s="94">
        <f t="shared" si="16"/>
        <v>24</v>
      </c>
      <c r="Z27" s="94">
        <v>1000</v>
      </c>
      <c r="AA27" s="95">
        <f t="shared" si="17"/>
        <v>12342.6</v>
      </c>
      <c r="AB27" s="84">
        <f t="shared" si="12"/>
        <v>0.75105731369403528</v>
      </c>
      <c r="AC27" s="84">
        <f t="shared" si="13"/>
        <v>0.8345081263267059</v>
      </c>
      <c r="AE27" s="83">
        <v>43185</v>
      </c>
      <c r="AF27" s="84">
        <f t="shared" si="18"/>
        <v>0.51443780078751644</v>
      </c>
      <c r="AG27" s="85">
        <f t="shared" si="0"/>
        <v>0.41756314998986727</v>
      </c>
      <c r="AH27" s="85">
        <f t="shared" si="0"/>
        <v>0.46395905554429701</v>
      </c>
      <c r="AI27" s="85">
        <f t="shared" si="1"/>
        <v>0.57159755643057375</v>
      </c>
      <c r="AJ27" s="85">
        <f t="shared" si="2"/>
        <v>0.65617066426979143</v>
      </c>
      <c r="AN27" s="265">
        <v>2</v>
      </c>
      <c r="AO27" s="96">
        <v>43182</v>
      </c>
      <c r="AP27" s="84">
        <v>0.60962444293347029</v>
      </c>
      <c r="AQ27" s="84">
        <v>0.6773604921483003</v>
      </c>
      <c r="AR27" s="84">
        <v>0.79411605066333624</v>
      </c>
    </row>
    <row r="28" spans="1:44" x14ac:dyDescent="0.25">
      <c r="A28" s="79">
        <v>2</v>
      </c>
      <c r="B28" s="86">
        <v>43185</v>
      </c>
      <c r="C28" s="79">
        <f>4150+2905</f>
        <v>7055</v>
      </c>
      <c r="D28" s="102">
        <f t="shared" si="3"/>
        <v>4.6692799999999997</v>
      </c>
      <c r="E28" s="79">
        <v>2</v>
      </c>
      <c r="F28" s="79">
        <f t="shared" si="4"/>
        <v>16</v>
      </c>
      <c r="G28" s="79">
        <v>1232</v>
      </c>
      <c r="H28" s="103">
        <f t="shared" si="5"/>
        <v>16895.647999999997</v>
      </c>
      <c r="I28" s="89">
        <f t="shared" si="6"/>
        <v>15206.083199999997</v>
      </c>
      <c r="J28" s="89">
        <f t="shared" si="7"/>
        <v>10751.775999999998</v>
      </c>
      <c r="K28" s="90">
        <f t="shared" si="8"/>
        <v>0.41756314998986727</v>
      </c>
      <c r="L28" s="91">
        <f t="shared" si="9"/>
        <v>0.46395905554429701</v>
      </c>
      <c r="M28" s="91">
        <f>C28/J28</f>
        <v>0.65617066426979143</v>
      </c>
      <c r="N28" s="92">
        <v>4.1666666666666664E-2</v>
      </c>
      <c r="O28" s="92">
        <v>0.29166666666666669</v>
      </c>
      <c r="P28" s="92">
        <v>0.41666666666666669</v>
      </c>
      <c r="Q28" s="99">
        <f>P28-O28</f>
        <v>0.125</v>
      </c>
      <c r="R28" s="99">
        <v>0.34375</v>
      </c>
      <c r="S28" s="99">
        <f t="shared" si="10"/>
        <v>0.21875</v>
      </c>
      <c r="T28" s="91">
        <f t="shared" si="11"/>
        <v>0.36363636363636365</v>
      </c>
      <c r="U28" s="101">
        <f t="shared" si="15"/>
        <v>0.63636363636363635</v>
      </c>
      <c r="V28" s="94">
        <v>13714</v>
      </c>
      <c r="W28" s="94">
        <v>3.79</v>
      </c>
      <c r="X28" s="94">
        <v>3</v>
      </c>
      <c r="Y28" s="94">
        <f t="shared" si="16"/>
        <v>24</v>
      </c>
      <c r="Z28" s="94">
        <v>1000</v>
      </c>
      <c r="AA28" s="95">
        <f t="shared" si="17"/>
        <v>12342.6</v>
      </c>
      <c r="AB28" s="84">
        <f t="shared" si="12"/>
        <v>0.51443780078751644</v>
      </c>
      <c r="AC28" s="84">
        <f t="shared" si="13"/>
        <v>0.57159755643057375</v>
      </c>
      <c r="AE28" s="83">
        <v>43186</v>
      </c>
      <c r="AF28" s="84">
        <f t="shared" si="18"/>
        <v>0.87501822954644892</v>
      </c>
      <c r="AG28" s="85">
        <f t="shared" si="0"/>
        <v>0.71024206943705281</v>
      </c>
      <c r="AH28" s="85">
        <f t="shared" si="0"/>
        <v>0.78915785493005863</v>
      </c>
      <c r="AI28" s="85">
        <f t="shared" si="1"/>
        <v>0.97224247727383206</v>
      </c>
      <c r="AJ28" s="85">
        <f t="shared" si="2"/>
        <v>1.0190429691922931</v>
      </c>
      <c r="AN28" s="265">
        <v>2</v>
      </c>
      <c r="AO28" s="96">
        <v>43185</v>
      </c>
      <c r="AP28" s="84">
        <v>0.41756314998986727</v>
      </c>
      <c r="AQ28" s="84">
        <v>0.46395905554429701</v>
      </c>
      <c r="AR28" s="84">
        <v>0.65617066426979143</v>
      </c>
    </row>
    <row r="29" spans="1:44" x14ac:dyDescent="0.25">
      <c r="A29" s="79">
        <v>2</v>
      </c>
      <c r="B29" s="86">
        <v>43186</v>
      </c>
      <c r="C29" s="79">
        <f>12000</f>
        <v>12000</v>
      </c>
      <c r="D29" s="102">
        <f t="shared" si="3"/>
        <v>4.6692799999999997</v>
      </c>
      <c r="E29" s="79">
        <v>2</v>
      </c>
      <c r="F29" s="79">
        <f t="shared" si="4"/>
        <v>16</v>
      </c>
      <c r="G29" s="79">
        <v>1232</v>
      </c>
      <c r="H29" s="103">
        <f t="shared" si="5"/>
        <v>16895.647999999997</v>
      </c>
      <c r="I29" s="89">
        <f t="shared" si="6"/>
        <v>15206.083199999997</v>
      </c>
      <c r="J29" s="89">
        <f t="shared" si="7"/>
        <v>11775.754666666666</v>
      </c>
      <c r="K29" s="90">
        <f t="shared" si="8"/>
        <v>0.71024206943705281</v>
      </c>
      <c r="L29" s="91">
        <f t="shared" si="9"/>
        <v>0.78915785493005863</v>
      </c>
      <c r="M29" s="91">
        <f>C29/J29</f>
        <v>1.0190429691922931</v>
      </c>
      <c r="N29" s="92">
        <v>4.1666666666666664E-2</v>
      </c>
      <c r="O29" s="92">
        <v>0.29166666666666669</v>
      </c>
      <c r="P29" s="92">
        <v>0.39583333333333331</v>
      </c>
      <c r="Q29" s="99">
        <f>P29-O29</f>
        <v>0.10416666666666663</v>
      </c>
      <c r="R29" s="99">
        <v>0.34375</v>
      </c>
      <c r="S29" s="99">
        <f t="shared" si="10"/>
        <v>0.23958333333333337</v>
      </c>
      <c r="T29" s="91">
        <f t="shared" si="11"/>
        <v>0.30303030303030293</v>
      </c>
      <c r="U29" s="101">
        <f t="shared" si="15"/>
        <v>0.69696969696969702</v>
      </c>
      <c r="V29" s="94">
        <v>13714</v>
      </c>
      <c r="W29" s="94">
        <v>3.79</v>
      </c>
      <c r="X29" s="94">
        <v>3</v>
      </c>
      <c r="Y29" s="94">
        <f t="shared" si="16"/>
        <v>24</v>
      </c>
      <c r="Z29" s="94">
        <v>1000</v>
      </c>
      <c r="AA29" s="95">
        <f t="shared" si="17"/>
        <v>12342.6</v>
      </c>
      <c r="AB29" s="84">
        <f t="shared" si="12"/>
        <v>0.87501822954644892</v>
      </c>
      <c r="AC29" s="84">
        <f t="shared" si="13"/>
        <v>0.97224247727383206</v>
      </c>
      <c r="AN29" s="265">
        <v>2</v>
      </c>
      <c r="AO29" s="96">
        <v>43186</v>
      </c>
      <c r="AP29" s="84">
        <v>0.71024206943705281</v>
      </c>
      <c r="AQ29" s="84">
        <v>0.78915785493005863</v>
      </c>
      <c r="AR29" s="84">
        <v>1.0190429691922931</v>
      </c>
    </row>
    <row r="30" spans="1:44" x14ac:dyDescent="0.25">
      <c r="P30" s="104"/>
      <c r="Q30" s="104"/>
    </row>
    <row r="31" spans="1:44" x14ac:dyDescent="0.25">
      <c r="B31" s="5" t="s">
        <v>129</v>
      </c>
      <c r="C31" s="274">
        <f>AVERAGE(C9:C30)</f>
        <v>9140.9523809523816</v>
      </c>
      <c r="L31" s="105">
        <f>AVERAGE(L9:L29)</f>
        <v>0.65714487141363287</v>
      </c>
      <c r="M31" s="105">
        <f>AVERAGE(M9:M29)</f>
        <v>0.80843638759471204</v>
      </c>
    </row>
    <row r="32" spans="1:44" x14ac:dyDescent="0.25">
      <c r="AB32" s="106" t="s">
        <v>97</v>
      </c>
      <c r="AC32" t="s">
        <v>130</v>
      </c>
    </row>
    <row r="33" spans="2:29" x14ac:dyDescent="0.25">
      <c r="AB33" s="107" t="s">
        <v>98</v>
      </c>
      <c r="AC33" t="s">
        <v>131</v>
      </c>
    </row>
    <row r="34" spans="2:29" x14ac:dyDescent="0.25">
      <c r="AB34" s="108" t="s">
        <v>99</v>
      </c>
      <c r="AC34" t="s">
        <v>132</v>
      </c>
    </row>
    <row r="35" spans="2:29" hidden="1" x14ac:dyDescent="0.25">
      <c r="B35" s="265" t="s">
        <v>133</v>
      </c>
      <c r="C35" s="265" t="s">
        <v>134</v>
      </c>
      <c r="D35" s="265" t="s">
        <v>26</v>
      </c>
      <c r="E35" s="265" t="s">
        <v>29</v>
      </c>
      <c r="AB35" s="109" t="s">
        <v>100</v>
      </c>
      <c r="AC35" t="s">
        <v>135</v>
      </c>
    </row>
    <row r="36" spans="2:29" hidden="1" x14ac:dyDescent="0.25">
      <c r="B36" s="265">
        <v>14</v>
      </c>
      <c r="C36" s="265">
        <v>53</v>
      </c>
      <c r="D36" s="265">
        <v>3.7850000000000001</v>
      </c>
      <c r="E36" s="265">
        <v>1000</v>
      </c>
      <c r="AB36" s="110" t="s">
        <v>101</v>
      </c>
      <c r="AC36" t="s">
        <v>136</v>
      </c>
    </row>
    <row r="37" spans="2:29" hidden="1" x14ac:dyDescent="0.25">
      <c r="B37" s="3"/>
      <c r="C37" s="3"/>
      <c r="D37" s="3"/>
      <c r="E37" s="3"/>
    </row>
    <row r="38" spans="2:29" hidden="1" x14ac:dyDescent="0.25">
      <c r="B38" s="265" t="s">
        <v>133</v>
      </c>
      <c r="C38" s="265" t="s">
        <v>134</v>
      </c>
      <c r="D38" s="265" t="s">
        <v>26</v>
      </c>
      <c r="E38" s="265" t="s">
        <v>29</v>
      </c>
      <c r="G38" s="265" t="s">
        <v>25</v>
      </c>
    </row>
    <row r="39" spans="2:29" hidden="1" x14ac:dyDescent="0.25">
      <c r="B39" s="265">
        <v>11.37</v>
      </c>
      <c r="C39" s="265">
        <v>53</v>
      </c>
      <c r="D39" s="2">
        <f>C39/B39</f>
        <v>4.6613896218117858</v>
      </c>
      <c r="E39" s="111">
        <f>(D39*E36)/D36</f>
        <v>1231.542832711172</v>
      </c>
      <c r="G39" s="7">
        <f>(E39/E36)-1</f>
        <v>0.23154283271117193</v>
      </c>
    </row>
    <row r="40" spans="2:29" hidden="1" x14ac:dyDescent="0.25">
      <c r="B40" s="3"/>
      <c r="C40" s="3"/>
      <c r="D40" s="3"/>
      <c r="E40" s="3"/>
    </row>
    <row r="41" spans="2:29" hidden="1" x14ac:dyDescent="0.25">
      <c r="B41" s="3"/>
      <c r="C41" s="3"/>
      <c r="D41" s="3"/>
      <c r="E41" s="3"/>
    </row>
    <row r="42" spans="2:29" hidden="1" x14ac:dyDescent="0.25">
      <c r="B42" s="265" t="s">
        <v>133</v>
      </c>
      <c r="C42" s="265" t="s">
        <v>137</v>
      </c>
      <c r="D42" s="265" t="s">
        <v>118</v>
      </c>
      <c r="E42" s="265" t="s">
        <v>138</v>
      </c>
    </row>
    <row r="43" spans="2:29" hidden="1" x14ac:dyDescent="0.25">
      <c r="B43" s="265">
        <v>5</v>
      </c>
      <c r="C43" s="265">
        <v>15</v>
      </c>
      <c r="D43" s="265">
        <v>480</v>
      </c>
      <c r="E43" s="265">
        <f>(D43*C43)/B43</f>
        <v>1440</v>
      </c>
    </row>
    <row r="44" spans="2:29" hidden="1" x14ac:dyDescent="0.25">
      <c r="B44" s="265" t="s">
        <v>139</v>
      </c>
      <c r="C44" s="265" t="s">
        <v>137</v>
      </c>
      <c r="D44" s="265" t="s">
        <v>140</v>
      </c>
      <c r="E44" s="265" t="s">
        <v>141</v>
      </c>
    </row>
    <row r="45" spans="2:29" hidden="1" x14ac:dyDescent="0.25">
      <c r="B45" s="265">
        <f>16896</f>
        <v>16896</v>
      </c>
      <c r="C45" s="265">
        <f>E43</f>
        <v>1440</v>
      </c>
      <c r="D45" s="265">
        <f>B45-C45</f>
        <v>15456</v>
      </c>
      <c r="E45" s="84">
        <f>(D45/V9)-1</f>
        <v>0.12702347965582605</v>
      </c>
    </row>
    <row r="46" spans="2:29" hidden="1" x14ac:dyDescent="0.25"/>
  </sheetData>
  <sheetProtection algorithmName="SHA-512" hashValue="aTAszBCsboPscDPaEbrvHCjGld6RCX32+TD9fLmjaAOHLkN9jZy51wqOjzjvIUW0aeerkFnxtEruZdqKY9cNxA==" saltValue="OuTrHVZg98QUM36TMZdjvQ==" spinCount="100000" sheet="1" objects="1" scenarios="1"/>
  <mergeCells count="1">
    <mergeCell ref="V7:AC7"/>
  </mergeCells>
  <conditionalFormatting sqref="AB9:AC29">
    <cfRule type="cellIs" dxfId="45" priority="3" operator="between">
      <formula>0</formula>
      <formula>0.89999</formula>
    </cfRule>
    <cfRule type="cellIs" dxfId="44" priority="4" operator="between">
      <formula>0.9</formula>
      <formula>1.2</formula>
    </cfRule>
    <cfRule type="cellIs" dxfId="43" priority="5" operator="equal">
      <formula>0.7</formula>
    </cfRule>
    <cfRule type="cellIs" dxfId="42" priority="6" operator="greaterThan">
      <formula>0.7</formula>
    </cfRule>
    <cfRule type="cellIs" dxfId="41" priority="7" operator="lessThan">
      <formula>0.7</formula>
    </cfRule>
    <cfRule type="cellIs" dxfId="40" priority="8" operator="equal">
      <formula>70</formula>
    </cfRule>
    <cfRule type="cellIs" dxfId="39" priority="9" operator="greaterThan">
      <formula>70</formula>
    </cfRule>
    <cfRule type="cellIs" dxfId="38" priority="10" operator="lessThan">
      <formula>70</formula>
    </cfRule>
  </conditionalFormatting>
  <conditionalFormatting sqref="K9:U29">
    <cfRule type="cellIs" dxfId="37" priority="1" operator="between">
      <formula>0</formula>
      <formula>0.89999</formula>
    </cfRule>
    <cfRule type="cellIs" dxfId="36" priority="2" operator="between">
      <formula>0.9</formula>
      <formula>1.2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2" tint="-0.499984740745262"/>
  </sheetPr>
  <dimension ref="A7:V110"/>
  <sheetViews>
    <sheetView showGridLines="0" zoomScale="80" zoomScaleNormal="80" workbookViewId="0"/>
  </sheetViews>
  <sheetFormatPr defaultRowHeight="15" x14ac:dyDescent="0.25"/>
  <cols>
    <col min="1" max="1" width="11.5703125" bestFit="1" customWidth="1"/>
    <col min="4" max="4" width="19.140625" bestFit="1" customWidth="1"/>
    <col min="5" max="5" width="8" bestFit="1" customWidth="1"/>
    <col min="6" max="6" width="12" bestFit="1" customWidth="1"/>
    <col min="7" max="7" width="5.28515625" bestFit="1" customWidth="1"/>
    <col min="8" max="8" width="11" bestFit="1" customWidth="1"/>
    <col min="9" max="9" width="6.7109375" bestFit="1" customWidth="1"/>
    <col min="10" max="10" width="15.42578125" bestFit="1" customWidth="1"/>
    <col min="11" max="11" width="14.42578125" bestFit="1" customWidth="1"/>
    <col min="12" max="12" width="11.28515625" bestFit="1" customWidth="1"/>
    <col min="13" max="13" width="14" bestFit="1" customWidth="1"/>
    <col min="14" max="14" width="15.5703125" bestFit="1" customWidth="1"/>
    <col min="15" max="15" width="14" bestFit="1" customWidth="1"/>
    <col min="16" max="16" width="11.28515625" bestFit="1" customWidth="1"/>
    <col min="18" max="18" width="14" bestFit="1" customWidth="1"/>
    <col min="19" max="19" width="15.5703125" bestFit="1" customWidth="1"/>
    <col min="20" max="21" width="14" bestFit="1" customWidth="1"/>
    <col min="22" max="22" width="12.85546875" bestFit="1" customWidth="1"/>
  </cols>
  <sheetData>
    <row r="7" spans="1:15" x14ac:dyDescent="0.25">
      <c r="A7" s="128" t="s">
        <v>142</v>
      </c>
      <c r="B7" s="128" t="s">
        <v>143</v>
      </c>
      <c r="C7" s="128" t="s">
        <v>144</v>
      </c>
      <c r="D7" s="128" t="s">
        <v>145</v>
      </c>
      <c r="E7" s="128" t="s">
        <v>146</v>
      </c>
      <c r="F7" s="128" t="s">
        <v>147</v>
      </c>
      <c r="G7" s="128" t="s">
        <v>148</v>
      </c>
      <c r="H7" s="128" t="s">
        <v>149</v>
      </c>
      <c r="I7" s="128" t="s">
        <v>150</v>
      </c>
      <c r="J7" s="128" t="s">
        <v>151</v>
      </c>
      <c r="K7" s="128" t="s">
        <v>152</v>
      </c>
      <c r="L7" s="128" t="s">
        <v>153</v>
      </c>
      <c r="M7" s="128" t="s">
        <v>154</v>
      </c>
    </row>
    <row r="8" spans="1:15" x14ac:dyDescent="0.25">
      <c r="A8" s="6" t="s">
        <v>98</v>
      </c>
      <c r="B8" s="129">
        <v>39527</v>
      </c>
      <c r="C8" s="129" t="s">
        <v>101</v>
      </c>
      <c r="D8" s="130" t="s">
        <v>155</v>
      </c>
      <c r="E8" s="130">
        <v>140</v>
      </c>
      <c r="F8" s="130">
        <v>420</v>
      </c>
      <c r="G8" s="48">
        <v>2017</v>
      </c>
      <c r="H8" s="48" t="s">
        <v>156</v>
      </c>
      <c r="I8" s="48">
        <v>5600</v>
      </c>
      <c r="J8" s="131">
        <v>2</v>
      </c>
      <c r="K8" s="131">
        <v>0.44429999999999997</v>
      </c>
      <c r="L8" s="131">
        <v>1.5557000000000001</v>
      </c>
      <c r="M8" s="131">
        <v>8711.92</v>
      </c>
      <c r="N8" s="9"/>
      <c r="O8" s="9"/>
    </row>
    <row r="9" spans="1:15" x14ac:dyDescent="0.25">
      <c r="A9" s="6" t="s">
        <v>98</v>
      </c>
      <c r="B9" s="129">
        <v>39527</v>
      </c>
      <c r="C9" s="129" t="s">
        <v>101</v>
      </c>
      <c r="D9" s="130" t="s">
        <v>157</v>
      </c>
      <c r="E9" s="130">
        <v>28</v>
      </c>
      <c r="F9" s="130">
        <v>84</v>
      </c>
      <c r="G9" s="48">
        <v>2017</v>
      </c>
      <c r="H9" s="48" t="s">
        <v>156</v>
      </c>
      <c r="I9" s="48">
        <v>1204</v>
      </c>
      <c r="J9" s="131">
        <v>2</v>
      </c>
      <c r="K9" s="131">
        <v>0.44429999999999997</v>
      </c>
      <c r="L9" s="131">
        <v>1.5557000000000001</v>
      </c>
      <c r="M9" s="131">
        <v>1873.0628000000002</v>
      </c>
      <c r="N9" s="9"/>
      <c r="O9" s="9"/>
    </row>
    <row r="10" spans="1:15" x14ac:dyDescent="0.25">
      <c r="A10" s="6" t="s">
        <v>98</v>
      </c>
      <c r="B10" s="129">
        <v>39544</v>
      </c>
      <c r="C10" s="129" t="s">
        <v>101</v>
      </c>
      <c r="D10" s="130" t="s">
        <v>155</v>
      </c>
      <c r="E10" s="130">
        <v>56</v>
      </c>
      <c r="F10" s="130">
        <v>168</v>
      </c>
      <c r="G10" s="48">
        <v>2017</v>
      </c>
      <c r="H10" s="48" t="s">
        <v>156</v>
      </c>
      <c r="I10" s="48">
        <v>2240</v>
      </c>
      <c r="J10" s="131">
        <v>2</v>
      </c>
      <c r="K10" s="131">
        <v>0.44429999999999997</v>
      </c>
      <c r="L10" s="131">
        <v>1.5557000000000001</v>
      </c>
      <c r="M10" s="131">
        <v>3484.768</v>
      </c>
      <c r="N10" s="9"/>
      <c r="O10" s="9"/>
    </row>
    <row r="11" spans="1:15" x14ac:dyDescent="0.25">
      <c r="A11" s="6" t="s">
        <v>98</v>
      </c>
      <c r="B11" s="129">
        <v>39544</v>
      </c>
      <c r="C11" s="129" t="s">
        <v>101</v>
      </c>
      <c r="D11" s="130" t="s">
        <v>157</v>
      </c>
      <c r="E11" s="130">
        <v>14</v>
      </c>
      <c r="F11" s="130">
        <v>42</v>
      </c>
      <c r="G11" s="48">
        <v>2017</v>
      </c>
      <c r="H11" s="48" t="s">
        <v>156</v>
      </c>
      <c r="I11" s="48">
        <v>602</v>
      </c>
      <c r="J11" s="131">
        <v>2</v>
      </c>
      <c r="K11" s="131">
        <v>0.44429999999999997</v>
      </c>
      <c r="L11" s="131">
        <v>1.5557000000000001</v>
      </c>
      <c r="M11" s="131">
        <v>936.53140000000008</v>
      </c>
      <c r="N11" s="9"/>
      <c r="O11" s="9"/>
    </row>
    <row r="12" spans="1:15" x14ac:dyDescent="0.25">
      <c r="A12" s="6" t="s">
        <v>97</v>
      </c>
      <c r="B12" s="129">
        <v>39546</v>
      </c>
      <c r="C12" s="129" t="s">
        <v>101</v>
      </c>
      <c r="D12" s="130" t="s">
        <v>158</v>
      </c>
      <c r="E12" s="130">
        <v>42</v>
      </c>
      <c r="F12" s="130">
        <v>252</v>
      </c>
      <c r="G12" s="48">
        <v>2017</v>
      </c>
      <c r="H12" s="48" t="s">
        <v>156</v>
      </c>
      <c r="I12" s="48">
        <v>2730</v>
      </c>
      <c r="J12" s="131">
        <v>3.5</v>
      </c>
      <c r="K12" s="131">
        <v>0.93259999999999998</v>
      </c>
      <c r="L12" s="131">
        <v>2.5674000000000001</v>
      </c>
      <c r="M12" s="131">
        <v>7009.0020000000004</v>
      </c>
      <c r="N12" s="9"/>
      <c r="O12" s="9"/>
    </row>
    <row r="13" spans="1:15" x14ac:dyDescent="0.25">
      <c r="A13" s="6" t="s">
        <v>97</v>
      </c>
      <c r="B13" s="129">
        <v>39546</v>
      </c>
      <c r="C13" s="129" t="s">
        <v>101</v>
      </c>
      <c r="D13" s="130" t="s">
        <v>159</v>
      </c>
      <c r="E13" s="130">
        <v>42</v>
      </c>
      <c r="F13" s="130">
        <v>252</v>
      </c>
      <c r="G13" s="48">
        <v>2017</v>
      </c>
      <c r="H13" s="48" t="s">
        <v>156</v>
      </c>
      <c r="I13" s="48">
        <v>2730</v>
      </c>
      <c r="J13" s="131">
        <v>3.5</v>
      </c>
      <c r="K13" s="131">
        <v>0.93259999999999998</v>
      </c>
      <c r="L13" s="131">
        <v>2.5674000000000001</v>
      </c>
      <c r="M13" s="131">
        <v>7009.0020000000004</v>
      </c>
      <c r="N13" s="9"/>
      <c r="O13" s="9"/>
    </row>
    <row r="14" spans="1:15" x14ac:dyDescent="0.25">
      <c r="A14" s="6" t="s">
        <v>97</v>
      </c>
      <c r="B14" s="129" t="s">
        <v>160</v>
      </c>
      <c r="C14" s="129" t="s">
        <v>101</v>
      </c>
      <c r="D14" s="130" t="s">
        <v>161</v>
      </c>
      <c r="E14" s="130">
        <v>190</v>
      </c>
      <c r="F14" s="130">
        <v>1140</v>
      </c>
      <c r="G14" s="48">
        <v>2017</v>
      </c>
      <c r="H14" s="48" t="s">
        <v>156</v>
      </c>
      <c r="I14" s="48">
        <v>12920</v>
      </c>
      <c r="J14" s="131">
        <v>3.5</v>
      </c>
      <c r="K14" s="131">
        <v>0.93259999999999998</v>
      </c>
      <c r="L14" s="131">
        <v>2.5674000000000001</v>
      </c>
      <c r="M14" s="131">
        <v>33170.808000000005</v>
      </c>
      <c r="N14" s="9"/>
      <c r="O14" s="9"/>
    </row>
    <row r="15" spans="1:15" x14ac:dyDescent="0.25">
      <c r="A15" s="6" t="s">
        <v>97</v>
      </c>
      <c r="B15" s="129" t="s">
        <v>160</v>
      </c>
      <c r="C15" s="129" t="s">
        <v>101</v>
      </c>
      <c r="D15" s="130" t="s">
        <v>162</v>
      </c>
      <c r="E15" s="130">
        <v>190</v>
      </c>
      <c r="F15" s="130">
        <v>1140</v>
      </c>
      <c r="G15" s="48">
        <v>2017</v>
      </c>
      <c r="H15" s="48" t="s">
        <v>156</v>
      </c>
      <c r="I15" s="48">
        <v>12920</v>
      </c>
      <c r="J15" s="131">
        <v>3.5</v>
      </c>
      <c r="K15" s="131">
        <v>0.93259999999999998</v>
      </c>
      <c r="L15" s="131">
        <v>2.5674000000000001</v>
      </c>
      <c r="M15" s="131">
        <v>33170.808000000005</v>
      </c>
      <c r="N15" s="9"/>
      <c r="O15" s="9"/>
    </row>
    <row r="16" spans="1:15" x14ac:dyDescent="0.25">
      <c r="A16" s="6" t="s">
        <v>97</v>
      </c>
      <c r="B16" s="129" t="s">
        <v>160</v>
      </c>
      <c r="C16" s="129" t="s">
        <v>101</v>
      </c>
      <c r="D16" s="130" t="s">
        <v>161</v>
      </c>
      <c r="E16" s="130">
        <v>190</v>
      </c>
      <c r="F16" s="130">
        <v>1140</v>
      </c>
      <c r="G16" s="48">
        <v>2017</v>
      </c>
      <c r="H16" s="48" t="s">
        <v>156</v>
      </c>
      <c r="I16" s="48">
        <v>12920</v>
      </c>
      <c r="J16" s="131">
        <v>3.5</v>
      </c>
      <c r="K16" s="131">
        <v>0.93259999999999998</v>
      </c>
      <c r="L16" s="131">
        <v>2.5674000000000001</v>
      </c>
      <c r="M16" s="131">
        <v>33170.808000000005</v>
      </c>
      <c r="N16" s="9"/>
      <c r="O16" s="9"/>
    </row>
    <row r="17" spans="1:15" x14ac:dyDescent="0.25">
      <c r="A17" s="6" t="s">
        <v>97</v>
      </c>
      <c r="B17" s="129" t="s">
        <v>160</v>
      </c>
      <c r="C17" s="129" t="s">
        <v>101</v>
      </c>
      <c r="D17" s="130" t="s">
        <v>162</v>
      </c>
      <c r="E17" s="130">
        <v>190</v>
      </c>
      <c r="F17" s="130">
        <v>1140</v>
      </c>
      <c r="G17" s="48">
        <v>2017</v>
      </c>
      <c r="H17" s="48" t="s">
        <v>156</v>
      </c>
      <c r="I17" s="48">
        <v>12920</v>
      </c>
      <c r="J17" s="131">
        <v>3.5</v>
      </c>
      <c r="K17" s="131">
        <v>0.93259999999999998</v>
      </c>
      <c r="L17" s="131">
        <v>2.5674000000000001</v>
      </c>
      <c r="M17" s="131">
        <v>33170.808000000005</v>
      </c>
      <c r="N17" s="9"/>
      <c r="O17" s="9"/>
    </row>
    <row r="18" spans="1:15" x14ac:dyDescent="0.25">
      <c r="A18" s="6" t="s">
        <v>98</v>
      </c>
      <c r="B18" s="129">
        <v>39427</v>
      </c>
      <c r="C18" s="129" t="s">
        <v>101</v>
      </c>
      <c r="D18" s="130" t="s">
        <v>163</v>
      </c>
      <c r="E18" s="130">
        <v>10</v>
      </c>
      <c r="F18" s="130">
        <v>50</v>
      </c>
      <c r="G18" s="48">
        <v>2017</v>
      </c>
      <c r="H18" s="48" t="s">
        <v>156</v>
      </c>
      <c r="I18" s="48">
        <v>740</v>
      </c>
      <c r="J18" s="131">
        <v>2.5</v>
      </c>
      <c r="K18" s="131">
        <v>0.48130000000000001</v>
      </c>
      <c r="L18" s="131">
        <v>2.0186999999999999</v>
      </c>
      <c r="M18" s="131">
        <v>1493.838</v>
      </c>
      <c r="N18" s="9"/>
      <c r="O18" s="9"/>
    </row>
    <row r="19" spans="1:15" x14ac:dyDescent="0.25">
      <c r="A19" s="6" t="s">
        <v>98</v>
      </c>
      <c r="B19" s="129">
        <v>39672</v>
      </c>
      <c r="C19" s="129" t="s">
        <v>101</v>
      </c>
      <c r="D19" s="130" t="s">
        <v>164</v>
      </c>
      <c r="E19" s="130">
        <v>150</v>
      </c>
      <c r="F19" s="130">
        <v>600</v>
      </c>
      <c r="G19" s="48">
        <v>2017</v>
      </c>
      <c r="H19" s="48" t="s">
        <v>156</v>
      </c>
      <c r="I19" s="48">
        <v>8550</v>
      </c>
      <c r="J19" s="131">
        <v>2</v>
      </c>
      <c r="K19" s="131">
        <v>0.44429999999999997</v>
      </c>
      <c r="L19" s="131">
        <v>1.5557000000000001</v>
      </c>
      <c r="M19" s="131">
        <v>13301.235000000001</v>
      </c>
      <c r="N19" s="9"/>
      <c r="O19" s="9"/>
    </row>
    <row r="20" spans="1:15" x14ac:dyDescent="0.25">
      <c r="A20" s="6" t="s">
        <v>98</v>
      </c>
      <c r="B20" s="129">
        <v>39614</v>
      </c>
      <c r="C20" s="129" t="s">
        <v>101</v>
      </c>
      <c r="D20" s="130" t="s">
        <v>165</v>
      </c>
      <c r="E20" s="130">
        <v>60</v>
      </c>
      <c r="F20" s="130">
        <v>300</v>
      </c>
      <c r="G20" s="48">
        <v>2017</v>
      </c>
      <c r="H20" s="48" t="s">
        <v>156</v>
      </c>
      <c r="I20" s="48">
        <v>4380</v>
      </c>
      <c r="J20" s="131">
        <v>2.5</v>
      </c>
      <c r="K20" s="131">
        <v>0.48130000000000001</v>
      </c>
      <c r="L20" s="131">
        <v>2.0186999999999999</v>
      </c>
      <c r="M20" s="131">
        <v>8841.905999999999</v>
      </c>
      <c r="N20" s="9"/>
      <c r="O20" s="9"/>
    </row>
    <row r="21" spans="1:15" x14ac:dyDescent="0.25">
      <c r="A21" s="6" t="s">
        <v>98</v>
      </c>
      <c r="B21" s="129">
        <v>39618</v>
      </c>
      <c r="C21" s="129" t="s">
        <v>101</v>
      </c>
      <c r="D21" s="130" t="s">
        <v>164</v>
      </c>
      <c r="E21" s="130">
        <v>81</v>
      </c>
      <c r="F21" s="130">
        <v>324</v>
      </c>
      <c r="G21" s="48">
        <v>2017</v>
      </c>
      <c r="H21" s="48" t="s">
        <v>156</v>
      </c>
      <c r="I21" s="48">
        <v>4617</v>
      </c>
      <c r="J21" s="131">
        <v>2</v>
      </c>
      <c r="K21" s="131">
        <v>0.44</v>
      </c>
      <c r="L21" s="131">
        <v>1.56</v>
      </c>
      <c r="M21" s="131">
        <v>7202.52</v>
      </c>
      <c r="N21" s="9"/>
      <c r="O21" s="9"/>
    </row>
    <row r="22" spans="1:15" x14ac:dyDescent="0.25">
      <c r="A22" s="6" t="s">
        <v>98</v>
      </c>
      <c r="B22" s="129">
        <v>39620</v>
      </c>
      <c r="C22" s="129" t="s">
        <v>101</v>
      </c>
      <c r="D22" s="130" t="s">
        <v>164</v>
      </c>
      <c r="E22" s="130">
        <v>50</v>
      </c>
      <c r="F22" s="130">
        <v>200</v>
      </c>
      <c r="G22" s="48">
        <v>2017</v>
      </c>
      <c r="H22" s="48" t="s">
        <v>156</v>
      </c>
      <c r="I22" s="48">
        <v>2850</v>
      </c>
      <c r="J22" s="131">
        <v>2</v>
      </c>
      <c r="K22" s="131">
        <v>0.44</v>
      </c>
      <c r="L22" s="131">
        <v>1.56</v>
      </c>
      <c r="M22" s="131">
        <v>4446</v>
      </c>
      <c r="N22" s="9"/>
      <c r="O22" s="9"/>
    </row>
    <row r="23" spans="1:15" x14ac:dyDescent="0.25">
      <c r="A23" s="6" t="s">
        <v>98</v>
      </c>
      <c r="B23" s="129">
        <v>39620</v>
      </c>
      <c r="C23" s="129" t="s">
        <v>101</v>
      </c>
      <c r="D23" s="130" t="s">
        <v>157</v>
      </c>
      <c r="E23" s="130">
        <v>40</v>
      </c>
      <c r="F23" s="130">
        <v>120</v>
      </c>
      <c r="G23" s="48">
        <v>2017</v>
      </c>
      <c r="H23" s="48" t="s">
        <v>156</v>
      </c>
      <c r="I23" s="48">
        <v>1720</v>
      </c>
      <c r="J23" s="131">
        <v>2</v>
      </c>
      <c r="K23" s="131">
        <v>0.44</v>
      </c>
      <c r="L23" s="131">
        <v>1.56</v>
      </c>
      <c r="M23" s="131">
        <v>2683.2000000000003</v>
      </c>
      <c r="N23" s="9"/>
      <c r="O23" s="9"/>
    </row>
    <row r="24" spans="1:15" x14ac:dyDescent="0.25">
      <c r="A24" s="6" t="s">
        <v>97</v>
      </c>
      <c r="B24" s="129">
        <v>38953</v>
      </c>
      <c r="C24" s="129" t="s">
        <v>101</v>
      </c>
      <c r="D24" s="130" t="s">
        <v>168</v>
      </c>
      <c r="E24" s="130">
        <v>285</v>
      </c>
      <c r="F24" s="130">
        <v>1710</v>
      </c>
      <c r="G24" s="48">
        <v>2017</v>
      </c>
      <c r="H24" s="48" t="s">
        <v>180</v>
      </c>
      <c r="I24" s="48">
        <v>19380</v>
      </c>
      <c r="J24" s="131">
        <v>3.5</v>
      </c>
      <c r="K24" s="131">
        <v>0.93259999999999998</v>
      </c>
      <c r="L24" s="131">
        <v>2.5674000000000001</v>
      </c>
      <c r="M24" s="131">
        <v>49756.212</v>
      </c>
      <c r="N24" s="9"/>
      <c r="O24" s="9"/>
    </row>
    <row r="25" spans="1:15" x14ac:dyDescent="0.25">
      <c r="A25" s="6" t="s">
        <v>97</v>
      </c>
      <c r="B25" s="129">
        <v>38953</v>
      </c>
      <c r="C25" s="129" t="s">
        <v>101</v>
      </c>
      <c r="D25" s="130" t="s">
        <v>169</v>
      </c>
      <c r="E25" s="130">
        <v>485</v>
      </c>
      <c r="F25" s="130">
        <v>2910</v>
      </c>
      <c r="G25" s="48">
        <v>2017</v>
      </c>
      <c r="H25" s="48" t="s">
        <v>180</v>
      </c>
      <c r="I25" s="48">
        <v>32980</v>
      </c>
      <c r="J25" s="131">
        <v>3.5</v>
      </c>
      <c r="K25" s="131">
        <v>0.93259999999999998</v>
      </c>
      <c r="L25" s="131">
        <v>2.5674000000000001</v>
      </c>
      <c r="M25" s="131">
        <v>84672.851999999999</v>
      </c>
      <c r="N25" s="9"/>
      <c r="O25" s="9"/>
    </row>
    <row r="26" spans="1:15" x14ac:dyDescent="0.25">
      <c r="A26" s="6" t="s">
        <v>97</v>
      </c>
      <c r="B26" s="129">
        <v>39393</v>
      </c>
      <c r="C26" s="129" t="s">
        <v>101</v>
      </c>
      <c r="D26" s="130" t="s">
        <v>181</v>
      </c>
      <c r="E26" s="130">
        <v>47</v>
      </c>
      <c r="F26" s="130">
        <v>376</v>
      </c>
      <c r="G26" s="48">
        <v>2017</v>
      </c>
      <c r="H26" s="48" t="s">
        <v>180</v>
      </c>
      <c r="I26" s="48">
        <v>4089</v>
      </c>
      <c r="J26" s="131">
        <v>3.5</v>
      </c>
      <c r="K26" s="131">
        <v>0.93259999999999998</v>
      </c>
      <c r="L26" s="131">
        <v>2.5674000000000001</v>
      </c>
      <c r="M26" s="131">
        <v>10498.098600000001</v>
      </c>
      <c r="N26" s="9"/>
      <c r="O26" s="9"/>
    </row>
    <row r="27" spans="1:15" x14ac:dyDescent="0.25">
      <c r="A27" s="6" t="s">
        <v>97</v>
      </c>
      <c r="B27" s="129">
        <v>39393</v>
      </c>
      <c r="C27" s="129" t="s">
        <v>101</v>
      </c>
      <c r="D27" s="130" t="s">
        <v>182</v>
      </c>
      <c r="E27" s="130">
        <v>47</v>
      </c>
      <c r="F27" s="130">
        <v>376</v>
      </c>
      <c r="G27" s="48">
        <v>2017</v>
      </c>
      <c r="H27" s="48" t="s">
        <v>180</v>
      </c>
      <c r="I27" s="48">
        <v>4089</v>
      </c>
      <c r="J27" s="131">
        <v>3.5</v>
      </c>
      <c r="K27" s="131">
        <v>0.93259999999999998</v>
      </c>
      <c r="L27" s="131">
        <v>2.5674000000000001</v>
      </c>
      <c r="M27" s="131">
        <v>10498.098600000001</v>
      </c>
      <c r="N27" s="9"/>
      <c r="O27" s="9"/>
    </row>
    <row r="28" spans="1:15" x14ac:dyDescent="0.25">
      <c r="A28" s="6" t="s">
        <v>97</v>
      </c>
      <c r="B28" s="129">
        <v>39517</v>
      </c>
      <c r="C28" s="129" t="s">
        <v>101</v>
      </c>
      <c r="D28" s="130" t="s">
        <v>168</v>
      </c>
      <c r="E28" s="130">
        <v>35</v>
      </c>
      <c r="F28" s="130">
        <v>210</v>
      </c>
      <c r="G28" s="48">
        <v>2017</v>
      </c>
      <c r="H28" s="48" t="s">
        <v>180</v>
      </c>
      <c r="I28" s="48">
        <v>2380</v>
      </c>
      <c r="J28" s="131">
        <v>3.5</v>
      </c>
      <c r="K28" s="131">
        <v>0.93259999999999998</v>
      </c>
      <c r="L28" s="131">
        <v>2.5674000000000001</v>
      </c>
      <c r="M28" s="131">
        <v>6110.4120000000003</v>
      </c>
      <c r="N28" s="9"/>
      <c r="O28" s="9"/>
    </row>
    <row r="29" spans="1:15" x14ac:dyDescent="0.25">
      <c r="A29" s="6" t="s">
        <v>97</v>
      </c>
      <c r="B29" s="129">
        <v>39517</v>
      </c>
      <c r="C29" s="129" t="s">
        <v>101</v>
      </c>
      <c r="D29" s="130" t="s">
        <v>169</v>
      </c>
      <c r="E29" s="130">
        <v>35</v>
      </c>
      <c r="F29" s="130">
        <v>210</v>
      </c>
      <c r="G29" s="48">
        <v>2017</v>
      </c>
      <c r="H29" s="48" t="s">
        <v>180</v>
      </c>
      <c r="I29" s="48">
        <v>2380</v>
      </c>
      <c r="J29" s="131">
        <v>3.5</v>
      </c>
      <c r="K29" s="131">
        <v>0.93259999999999998</v>
      </c>
      <c r="L29" s="131">
        <v>2.5674000000000001</v>
      </c>
      <c r="M29" s="131">
        <v>6110.4120000000003</v>
      </c>
      <c r="N29" s="9"/>
      <c r="O29" s="9"/>
    </row>
    <row r="30" spans="1:15" x14ac:dyDescent="0.25">
      <c r="A30" s="6" t="s">
        <v>97</v>
      </c>
      <c r="B30" s="129">
        <v>39483</v>
      </c>
      <c r="C30" s="129" t="s">
        <v>101</v>
      </c>
      <c r="D30" s="130" t="s">
        <v>183</v>
      </c>
      <c r="E30" s="130">
        <v>240</v>
      </c>
      <c r="F30" s="130">
        <v>720</v>
      </c>
      <c r="G30" s="48">
        <v>2017</v>
      </c>
      <c r="H30" s="48" t="s">
        <v>180</v>
      </c>
      <c r="I30" s="48">
        <v>8400</v>
      </c>
      <c r="J30" s="131">
        <v>3.5</v>
      </c>
      <c r="K30" s="131">
        <v>0.93259999999999998</v>
      </c>
      <c r="L30" s="131">
        <v>2.5674000000000001</v>
      </c>
      <c r="M30" s="131">
        <v>21566.16</v>
      </c>
      <c r="N30" s="9"/>
      <c r="O30" s="9"/>
    </row>
    <row r="31" spans="1:15" x14ac:dyDescent="0.25">
      <c r="A31" s="6" t="s">
        <v>97</v>
      </c>
      <c r="B31" s="129">
        <v>39483</v>
      </c>
      <c r="C31" s="129" t="s">
        <v>101</v>
      </c>
      <c r="D31" s="130" t="s">
        <v>183</v>
      </c>
      <c r="E31" s="130">
        <v>240</v>
      </c>
      <c r="F31" s="130">
        <v>720</v>
      </c>
      <c r="G31" s="48">
        <v>2017</v>
      </c>
      <c r="H31" s="48" t="s">
        <v>180</v>
      </c>
      <c r="I31" s="48">
        <v>8400</v>
      </c>
      <c r="J31" s="131">
        <v>3.5</v>
      </c>
      <c r="K31" s="131">
        <v>0.93259999999999998</v>
      </c>
      <c r="L31" s="131">
        <v>2.5674000000000001</v>
      </c>
      <c r="M31" s="131">
        <v>21566.16</v>
      </c>
      <c r="N31" s="9"/>
      <c r="O31" s="9"/>
    </row>
    <row r="32" spans="1:15" x14ac:dyDescent="0.25">
      <c r="A32" s="6" t="s">
        <v>98</v>
      </c>
      <c r="B32" s="129">
        <v>39369</v>
      </c>
      <c r="C32" s="129" t="s">
        <v>101</v>
      </c>
      <c r="D32" s="130" t="s">
        <v>164</v>
      </c>
      <c r="E32" s="130">
        <v>72</v>
      </c>
      <c r="F32" s="130">
        <v>288</v>
      </c>
      <c r="G32" s="48">
        <v>2017</v>
      </c>
      <c r="H32" s="48" t="s">
        <v>180</v>
      </c>
      <c r="I32" s="48">
        <v>4104</v>
      </c>
      <c r="J32" s="131">
        <v>2</v>
      </c>
      <c r="K32" s="131">
        <v>0.44</v>
      </c>
      <c r="L32" s="131">
        <v>1.56</v>
      </c>
      <c r="M32" s="131">
        <v>6402.24</v>
      </c>
      <c r="N32" s="9"/>
      <c r="O32" s="9"/>
    </row>
    <row r="33" spans="1:15" x14ac:dyDescent="0.25">
      <c r="A33" s="6" t="s">
        <v>98</v>
      </c>
      <c r="B33" s="129">
        <v>39368</v>
      </c>
      <c r="C33" s="129" t="s">
        <v>101</v>
      </c>
      <c r="D33" s="130" t="s">
        <v>164</v>
      </c>
      <c r="E33" s="130">
        <v>53</v>
      </c>
      <c r="F33" s="130">
        <v>212</v>
      </c>
      <c r="G33" s="48">
        <v>2017</v>
      </c>
      <c r="H33" s="48" t="s">
        <v>180</v>
      </c>
      <c r="I33" s="48">
        <v>3021</v>
      </c>
      <c r="J33" s="131">
        <v>2</v>
      </c>
      <c r="K33" s="131">
        <v>0.44</v>
      </c>
      <c r="L33" s="131">
        <v>1.56</v>
      </c>
      <c r="M33" s="131">
        <v>4712.76</v>
      </c>
      <c r="N33" s="9"/>
      <c r="O33" s="9"/>
    </row>
    <row r="34" spans="1:15" x14ac:dyDescent="0.25">
      <c r="A34" s="6" t="s">
        <v>99</v>
      </c>
      <c r="B34" s="129"/>
      <c r="C34" s="129" t="s">
        <v>101</v>
      </c>
      <c r="D34" s="130" t="s">
        <v>184</v>
      </c>
      <c r="E34" s="130">
        <v>1</v>
      </c>
      <c r="F34" s="130">
        <v>10</v>
      </c>
      <c r="G34" s="48">
        <v>2017</v>
      </c>
      <c r="H34" s="48" t="s">
        <v>180</v>
      </c>
      <c r="I34" s="48">
        <v>194</v>
      </c>
      <c r="J34" s="131">
        <v>4</v>
      </c>
      <c r="K34" s="131">
        <v>2.6404000000000001</v>
      </c>
      <c r="L34" s="131">
        <v>1.3595999999999999</v>
      </c>
      <c r="M34" s="131">
        <v>263.76239999999996</v>
      </c>
      <c r="N34" s="9"/>
      <c r="O34" s="9"/>
    </row>
    <row r="35" spans="1:15" x14ac:dyDescent="0.25">
      <c r="A35" s="6" t="s">
        <v>99</v>
      </c>
      <c r="B35" s="129"/>
      <c r="C35" s="129" t="s">
        <v>101</v>
      </c>
      <c r="D35" s="130" t="s">
        <v>185</v>
      </c>
      <c r="E35" s="130">
        <v>3</v>
      </c>
      <c r="F35" s="130">
        <v>30</v>
      </c>
      <c r="G35" s="48">
        <v>2017</v>
      </c>
      <c r="H35" s="48" t="s">
        <v>180</v>
      </c>
      <c r="I35" s="48">
        <v>1311</v>
      </c>
      <c r="J35" s="131">
        <v>4</v>
      </c>
      <c r="K35" s="131">
        <v>2.6404000000000001</v>
      </c>
      <c r="L35" s="131">
        <v>1.3595999999999999</v>
      </c>
      <c r="M35" s="131">
        <v>1782.4355999999998</v>
      </c>
      <c r="N35" s="9"/>
      <c r="O35" s="9"/>
    </row>
    <row r="36" spans="1:15" x14ac:dyDescent="0.25">
      <c r="A36" s="6" t="s">
        <v>97</v>
      </c>
      <c r="B36" s="129">
        <v>39472</v>
      </c>
      <c r="C36" s="129" t="s">
        <v>101</v>
      </c>
      <c r="D36" s="130" t="s">
        <v>183</v>
      </c>
      <c r="E36" s="130">
        <v>51</v>
      </c>
      <c r="F36" s="130">
        <v>153</v>
      </c>
      <c r="G36" s="48">
        <v>2017</v>
      </c>
      <c r="H36" s="48" t="s">
        <v>180</v>
      </c>
      <c r="I36" s="48">
        <v>1785</v>
      </c>
      <c r="J36" s="131">
        <v>3.5</v>
      </c>
      <c r="K36" s="131">
        <v>0.93259999999999998</v>
      </c>
      <c r="L36" s="131">
        <v>2.5674000000000001</v>
      </c>
      <c r="M36" s="131">
        <v>4582.8090000000002</v>
      </c>
      <c r="N36" s="9"/>
      <c r="O36" s="9"/>
    </row>
    <row r="37" spans="1:15" x14ac:dyDescent="0.25">
      <c r="A37" s="6" t="s">
        <v>97</v>
      </c>
      <c r="B37" s="129">
        <v>39472</v>
      </c>
      <c r="C37" s="129" t="s">
        <v>101</v>
      </c>
      <c r="D37" s="130" t="s">
        <v>186</v>
      </c>
      <c r="E37" s="130">
        <v>52</v>
      </c>
      <c r="F37" s="130">
        <v>156</v>
      </c>
      <c r="G37" s="48">
        <v>2017</v>
      </c>
      <c r="H37" s="48" t="s">
        <v>180</v>
      </c>
      <c r="I37" s="48">
        <v>1820</v>
      </c>
      <c r="J37" s="131">
        <v>3.5</v>
      </c>
      <c r="K37" s="131">
        <v>0.93259999999999998</v>
      </c>
      <c r="L37" s="131">
        <v>2.5674000000000001</v>
      </c>
      <c r="M37" s="131">
        <v>4672.6680000000006</v>
      </c>
      <c r="N37" s="9"/>
      <c r="O37" s="9"/>
    </row>
    <row r="38" spans="1:15" x14ac:dyDescent="0.25">
      <c r="A38" s="6" t="s">
        <v>98</v>
      </c>
      <c r="B38" s="129">
        <v>39462</v>
      </c>
      <c r="C38" s="129" t="s">
        <v>101</v>
      </c>
      <c r="D38" s="130" t="s">
        <v>164</v>
      </c>
      <c r="E38" s="130">
        <v>305</v>
      </c>
      <c r="F38" s="130">
        <v>1220</v>
      </c>
      <c r="G38" s="48">
        <v>2017</v>
      </c>
      <c r="H38" s="48" t="s">
        <v>180</v>
      </c>
      <c r="I38" s="48">
        <v>17385</v>
      </c>
      <c r="J38" s="131">
        <v>2</v>
      </c>
      <c r="K38" s="131">
        <v>0.44</v>
      </c>
      <c r="L38" s="131">
        <v>1.56</v>
      </c>
      <c r="M38" s="131">
        <v>27120.600000000002</v>
      </c>
      <c r="N38" s="9"/>
      <c r="O38" s="9"/>
    </row>
    <row r="39" spans="1:15" x14ac:dyDescent="0.25">
      <c r="A39" s="6" t="s">
        <v>98</v>
      </c>
      <c r="B39" s="129">
        <v>39430</v>
      </c>
      <c r="C39" s="129" t="s">
        <v>101</v>
      </c>
      <c r="D39" s="130" t="s">
        <v>164</v>
      </c>
      <c r="E39" s="130">
        <v>326</v>
      </c>
      <c r="F39" s="130">
        <v>1304</v>
      </c>
      <c r="G39" s="48">
        <v>2017</v>
      </c>
      <c r="H39" s="48" t="s">
        <v>180</v>
      </c>
      <c r="I39" s="48">
        <v>18582</v>
      </c>
      <c r="J39" s="131">
        <v>2</v>
      </c>
      <c r="K39" s="131">
        <v>0.44</v>
      </c>
      <c r="L39" s="131">
        <v>1.56</v>
      </c>
      <c r="M39" s="131">
        <v>28987.920000000002</v>
      </c>
      <c r="N39" s="9"/>
      <c r="O39" s="9"/>
    </row>
    <row r="40" spans="1:15" x14ac:dyDescent="0.25">
      <c r="A40" s="6" t="s">
        <v>97</v>
      </c>
      <c r="B40" s="129">
        <v>39515</v>
      </c>
      <c r="C40" s="129" t="s">
        <v>101</v>
      </c>
      <c r="D40" s="130" t="s">
        <v>187</v>
      </c>
      <c r="E40" s="130">
        <v>10</v>
      </c>
      <c r="F40" s="130">
        <v>40</v>
      </c>
      <c r="G40" s="48">
        <v>2017</v>
      </c>
      <c r="H40" s="48" t="s">
        <v>180</v>
      </c>
      <c r="I40" s="48">
        <v>460</v>
      </c>
      <c r="J40" s="131">
        <v>3.5</v>
      </c>
      <c r="K40" s="131">
        <v>0.93259999999999998</v>
      </c>
      <c r="L40" s="131">
        <v>2.5674000000000001</v>
      </c>
      <c r="M40" s="131">
        <v>1181.0040000000001</v>
      </c>
      <c r="N40" s="9"/>
      <c r="O40" s="9"/>
    </row>
    <row r="41" spans="1:15" x14ac:dyDescent="0.25">
      <c r="A41" s="6" t="s">
        <v>97</v>
      </c>
      <c r="B41" s="129">
        <v>39515</v>
      </c>
      <c r="C41" s="129" t="s">
        <v>101</v>
      </c>
      <c r="D41" s="130" t="s">
        <v>188</v>
      </c>
      <c r="E41" s="130">
        <v>10</v>
      </c>
      <c r="F41" s="130">
        <v>40</v>
      </c>
      <c r="G41" s="48">
        <v>2017</v>
      </c>
      <c r="H41" s="48" t="s">
        <v>180</v>
      </c>
      <c r="I41" s="48">
        <v>460</v>
      </c>
      <c r="J41" s="131">
        <v>3.5</v>
      </c>
      <c r="K41" s="131">
        <v>0.93259999999999998</v>
      </c>
      <c r="L41" s="131">
        <v>2.5674000000000001</v>
      </c>
      <c r="M41" s="131">
        <v>1181.0040000000001</v>
      </c>
      <c r="N41" s="9"/>
      <c r="O41" s="9"/>
    </row>
    <row r="42" spans="1:15" x14ac:dyDescent="0.25">
      <c r="A42" s="6" t="s">
        <v>97</v>
      </c>
      <c r="B42" s="129">
        <v>38955</v>
      </c>
      <c r="C42" s="129" t="s">
        <v>101</v>
      </c>
      <c r="D42" s="130" t="s">
        <v>168</v>
      </c>
      <c r="E42" s="130">
        <v>570</v>
      </c>
      <c r="F42" s="130">
        <v>3420</v>
      </c>
      <c r="G42" s="48">
        <v>2017</v>
      </c>
      <c r="H42" s="48" t="s">
        <v>180</v>
      </c>
      <c r="I42" s="48">
        <v>38760</v>
      </c>
      <c r="J42" s="131">
        <v>3.5</v>
      </c>
      <c r="K42" s="131">
        <v>0.93259999999999998</v>
      </c>
      <c r="L42" s="131">
        <v>2.5674000000000001</v>
      </c>
      <c r="M42" s="131">
        <v>99512.423999999999</v>
      </c>
      <c r="N42" s="9"/>
      <c r="O42" s="9"/>
    </row>
    <row r="43" spans="1:15" x14ac:dyDescent="0.25">
      <c r="A43" s="6" t="s">
        <v>97</v>
      </c>
      <c r="B43" s="129">
        <v>38955</v>
      </c>
      <c r="C43" s="129" t="s">
        <v>101</v>
      </c>
      <c r="D43" s="130" t="s">
        <v>169</v>
      </c>
      <c r="E43" s="130">
        <v>570</v>
      </c>
      <c r="F43" s="130">
        <v>3420</v>
      </c>
      <c r="G43" s="48">
        <v>2017</v>
      </c>
      <c r="H43" s="48" t="s">
        <v>180</v>
      </c>
      <c r="I43" s="48">
        <v>38760</v>
      </c>
      <c r="J43" s="131">
        <v>3.5</v>
      </c>
      <c r="K43" s="131">
        <v>0.93259999999999998</v>
      </c>
      <c r="L43" s="131">
        <v>2.5674000000000001</v>
      </c>
      <c r="M43" s="131">
        <v>99512.423999999999</v>
      </c>
      <c r="N43" s="9"/>
      <c r="O43" s="9"/>
    </row>
    <row r="44" spans="1:15" x14ac:dyDescent="0.25">
      <c r="A44" s="6" t="s">
        <v>98</v>
      </c>
      <c r="B44" s="129">
        <v>39508</v>
      </c>
      <c r="C44" s="129" t="s">
        <v>101</v>
      </c>
      <c r="D44" s="130" t="s">
        <v>164</v>
      </c>
      <c r="E44" s="130">
        <v>60</v>
      </c>
      <c r="F44" s="130">
        <v>240</v>
      </c>
      <c r="G44" s="48">
        <v>2017</v>
      </c>
      <c r="H44" s="48" t="s">
        <v>180</v>
      </c>
      <c r="I44" s="48">
        <v>3420</v>
      </c>
      <c r="J44" s="131">
        <v>2</v>
      </c>
      <c r="K44" s="131">
        <v>0.44</v>
      </c>
      <c r="L44" s="131">
        <v>1.56</v>
      </c>
      <c r="M44" s="131">
        <v>5335.2</v>
      </c>
      <c r="N44" s="9"/>
      <c r="O44" s="9"/>
    </row>
    <row r="45" spans="1:15" x14ac:dyDescent="0.25">
      <c r="A45" s="6" t="s">
        <v>98</v>
      </c>
      <c r="B45" s="129">
        <v>39414</v>
      </c>
      <c r="C45" s="129" t="s">
        <v>101</v>
      </c>
      <c r="D45" s="130" t="s">
        <v>164</v>
      </c>
      <c r="E45" s="130">
        <v>40</v>
      </c>
      <c r="F45" s="130">
        <v>160</v>
      </c>
      <c r="G45" s="48">
        <v>2017</v>
      </c>
      <c r="H45" s="48" t="s">
        <v>180</v>
      </c>
      <c r="I45" s="48">
        <v>2280</v>
      </c>
      <c r="J45" s="131">
        <v>2</v>
      </c>
      <c r="K45" s="131">
        <v>0.44</v>
      </c>
      <c r="L45" s="131">
        <v>1.56</v>
      </c>
      <c r="M45" s="131">
        <v>3556.8</v>
      </c>
      <c r="N45" s="9"/>
      <c r="O45" s="9"/>
    </row>
    <row r="46" spans="1:15" x14ac:dyDescent="0.25">
      <c r="A46" s="6" t="s">
        <v>98</v>
      </c>
      <c r="B46" s="129">
        <v>39414</v>
      </c>
      <c r="C46" s="129" t="s">
        <v>101</v>
      </c>
      <c r="D46" s="130" t="s">
        <v>171</v>
      </c>
      <c r="E46" s="130">
        <v>30</v>
      </c>
      <c r="F46" s="130">
        <v>60</v>
      </c>
      <c r="G46" s="48">
        <v>2017</v>
      </c>
      <c r="H46" s="48" t="s">
        <v>180</v>
      </c>
      <c r="I46" s="48">
        <v>870</v>
      </c>
      <c r="J46" s="131">
        <v>2</v>
      </c>
      <c r="K46" s="131">
        <v>0.44</v>
      </c>
      <c r="L46" s="131">
        <v>1.56</v>
      </c>
      <c r="M46" s="131">
        <v>1357.2</v>
      </c>
      <c r="N46" s="9"/>
      <c r="O46" s="9"/>
    </row>
    <row r="47" spans="1:15" x14ac:dyDescent="0.25">
      <c r="A47" s="6" t="s">
        <v>98</v>
      </c>
      <c r="B47" s="129">
        <v>39390</v>
      </c>
      <c r="C47" s="129" t="s">
        <v>101</v>
      </c>
      <c r="D47" s="130" t="s">
        <v>189</v>
      </c>
      <c r="E47" s="130">
        <v>30</v>
      </c>
      <c r="F47" s="130">
        <v>120</v>
      </c>
      <c r="G47" s="48">
        <v>2017</v>
      </c>
      <c r="H47" s="48" t="s">
        <v>180</v>
      </c>
      <c r="I47" s="48">
        <v>1830</v>
      </c>
      <c r="J47" s="131">
        <v>2.5</v>
      </c>
      <c r="K47" s="131">
        <v>0.48130000000000001</v>
      </c>
      <c r="L47" s="131">
        <v>2.0186999999999999</v>
      </c>
      <c r="M47" s="131">
        <v>3694.221</v>
      </c>
      <c r="N47" s="9"/>
      <c r="O47" s="9"/>
    </row>
    <row r="48" spans="1:15" x14ac:dyDescent="0.25">
      <c r="A48" s="6" t="s">
        <v>98</v>
      </c>
      <c r="B48" s="129">
        <v>39319</v>
      </c>
      <c r="C48" s="129" t="s">
        <v>101</v>
      </c>
      <c r="D48" s="130" t="s">
        <v>155</v>
      </c>
      <c r="E48" s="130">
        <v>50</v>
      </c>
      <c r="F48" s="130">
        <v>150</v>
      </c>
      <c r="G48" s="48">
        <v>2017</v>
      </c>
      <c r="H48" s="48" t="s">
        <v>190</v>
      </c>
      <c r="I48" s="48">
        <v>2000</v>
      </c>
      <c r="J48" s="131">
        <v>2</v>
      </c>
      <c r="K48" s="131">
        <v>0.44</v>
      </c>
      <c r="L48" s="131">
        <v>1.56</v>
      </c>
      <c r="M48" s="131">
        <v>3120</v>
      </c>
      <c r="N48" s="9"/>
      <c r="O48" s="9"/>
    </row>
    <row r="49" spans="1:15" x14ac:dyDescent="0.25">
      <c r="A49" s="6" t="s">
        <v>97</v>
      </c>
      <c r="B49" s="129">
        <v>39669</v>
      </c>
      <c r="C49" s="129" t="s">
        <v>101</v>
      </c>
      <c r="D49" s="130" t="s">
        <v>166</v>
      </c>
      <c r="E49" s="130">
        <v>15</v>
      </c>
      <c r="F49" s="130">
        <v>90</v>
      </c>
      <c r="G49" s="48">
        <v>2018</v>
      </c>
      <c r="H49" s="48" t="s">
        <v>167</v>
      </c>
      <c r="I49" s="48">
        <v>975</v>
      </c>
      <c r="J49" s="131">
        <v>3.5</v>
      </c>
      <c r="K49" s="131">
        <v>0.93259999999999998</v>
      </c>
      <c r="L49" s="131">
        <v>2.5674000000000001</v>
      </c>
      <c r="M49" s="131">
        <v>2503.2150000000001</v>
      </c>
      <c r="N49" s="9"/>
      <c r="O49" s="9"/>
    </row>
    <row r="50" spans="1:15" x14ac:dyDescent="0.25">
      <c r="A50" s="6" t="s">
        <v>97</v>
      </c>
      <c r="B50" s="129">
        <v>39669</v>
      </c>
      <c r="C50" s="129" t="s">
        <v>101</v>
      </c>
      <c r="D50" s="130" t="s">
        <v>159</v>
      </c>
      <c r="E50" s="130">
        <v>15</v>
      </c>
      <c r="F50" s="130">
        <v>90</v>
      </c>
      <c r="G50" s="48">
        <v>2018</v>
      </c>
      <c r="H50" s="48" t="s">
        <v>167</v>
      </c>
      <c r="I50" s="48">
        <v>975</v>
      </c>
      <c r="J50" s="131">
        <v>3.5</v>
      </c>
      <c r="K50" s="131">
        <v>0.93259999999999998</v>
      </c>
      <c r="L50" s="131">
        <v>2.5674000000000001</v>
      </c>
      <c r="M50" s="131">
        <v>2503.2150000000001</v>
      </c>
      <c r="N50" s="9"/>
      <c r="O50" s="9"/>
    </row>
    <row r="51" spans="1:15" x14ac:dyDescent="0.25">
      <c r="A51" s="6" t="s">
        <v>97</v>
      </c>
      <c r="B51" s="129">
        <v>39660</v>
      </c>
      <c r="C51" s="129" t="s">
        <v>101</v>
      </c>
      <c r="D51" s="130" t="s">
        <v>168</v>
      </c>
      <c r="E51" s="130">
        <v>4</v>
      </c>
      <c r="F51" s="130">
        <v>24</v>
      </c>
      <c r="G51" s="48">
        <v>2018</v>
      </c>
      <c r="H51" s="48" t="s">
        <v>167</v>
      </c>
      <c r="I51" s="48">
        <v>272</v>
      </c>
      <c r="J51" s="131">
        <v>3.5</v>
      </c>
      <c r="K51" s="131">
        <v>0.93259999999999998</v>
      </c>
      <c r="L51" s="131">
        <v>2.5674000000000001</v>
      </c>
      <c r="M51" s="131">
        <v>698.33280000000002</v>
      </c>
      <c r="N51" s="9"/>
      <c r="O51" s="9"/>
    </row>
    <row r="52" spans="1:15" x14ac:dyDescent="0.25">
      <c r="A52" s="6" t="s">
        <v>97</v>
      </c>
      <c r="B52" s="129">
        <v>39660</v>
      </c>
      <c r="C52" s="129" t="s">
        <v>101</v>
      </c>
      <c r="D52" s="130" t="s">
        <v>169</v>
      </c>
      <c r="E52" s="130">
        <v>5</v>
      </c>
      <c r="F52" s="130">
        <v>30</v>
      </c>
      <c r="G52" s="48">
        <v>2018</v>
      </c>
      <c r="H52" s="48" t="s">
        <v>167</v>
      </c>
      <c r="I52" s="48">
        <v>340</v>
      </c>
      <c r="J52" s="131">
        <v>3.5</v>
      </c>
      <c r="K52" s="131">
        <v>0.93259999999999998</v>
      </c>
      <c r="L52" s="131">
        <v>2.5674000000000001</v>
      </c>
      <c r="M52" s="131">
        <v>872.91600000000005</v>
      </c>
      <c r="N52" s="9"/>
      <c r="O52" s="9"/>
    </row>
    <row r="53" spans="1:15" x14ac:dyDescent="0.25">
      <c r="A53" s="6" t="s">
        <v>98</v>
      </c>
      <c r="B53" s="129">
        <v>39649</v>
      </c>
      <c r="C53" s="129" t="s">
        <v>101</v>
      </c>
      <c r="D53" s="130" t="s">
        <v>170</v>
      </c>
      <c r="E53" s="130">
        <v>20</v>
      </c>
      <c r="F53" s="130">
        <v>60</v>
      </c>
      <c r="G53" s="48">
        <v>2018</v>
      </c>
      <c r="H53" s="48" t="s">
        <v>167</v>
      </c>
      <c r="I53" s="48">
        <v>920</v>
      </c>
      <c r="J53" s="131">
        <v>2</v>
      </c>
      <c r="K53" s="131">
        <v>0.44</v>
      </c>
      <c r="L53" s="131">
        <v>1.56</v>
      </c>
      <c r="M53" s="131">
        <v>1435.2</v>
      </c>
      <c r="N53" s="9"/>
      <c r="O53" s="9"/>
    </row>
    <row r="54" spans="1:15" x14ac:dyDescent="0.25">
      <c r="A54" s="6" t="s">
        <v>98</v>
      </c>
      <c r="B54" s="129">
        <v>39649</v>
      </c>
      <c r="C54" s="129" t="s">
        <v>101</v>
      </c>
      <c r="D54" s="130" t="s">
        <v>163</v>
      </c>
      <c r="E54" s="130">
        <v>30</v>
      </c>
      <c r="F54" s="130">
        <v>150</v>
      </c>
      <c r="G54" s="48">
        <v>2018</v>
      </c>
      <c r="H54" s="48" t="s">
        <v>167</v>
      </c>
      <c r="I54" s="48">
        <v>2220</v>
      </c>
      <c r="J54" s="131">
        <v>2.5</v>
      </c>
      <c r="K54" s="131">
        <v>0.48130000000000001</v>
      </c>
      <c r="L54" s="131">
        <v>2.0186999999999999</v>
      </c>
      <c r="M54" s="131">
        <v>4481.5140000000001</v>
      </c>
      <c r="N54" s="9"/>
      <c r="O54" s="9"/>
    </row>
    <row r="55" spans="1:15" x14ac:dyDescent="0.25">
      <c r="A55" s="6" t="s">
        <v>98</v>
      </c>
      <c r="B55" s="129">
        <v>39655</v>
      </c>
      <c r="C55" s="129" t="s">
        <v>101</v>
      </c>
      <c r="D55" s="130" t="s">
        <v>171</v>
      </c>
      <c r="E55" s="130">
        <v>17</v>
      </c>
      <c r="F55" s="130">
        <v>34</v>
      </c>
      <c r="G55" s="48">
        <v>2018</v>
      </c>
      <c r="H55" s="48" t="s">
        <v>167</v>
      </c>
      <c r="I55" s="48">
        <v>493</v>
      </c>
      <c r="J55" s="131">
        <v>2</v>
      </c>
      <c r="K55" s="131">
        <v>0.44</v>
      </c>
      <c r="L55" s="131">
        <v>1.56</v>
      </c>
      <c r="M55" s="131">
        <v>769.08</v>
      </c>
      <c r="N55" s="9"/>
      <c r="O55" s="9"/>
    </row>
    <row r="56" spans="1:15" x14ac:dyDescent="0.25">
      <c r="A56" s="6" t="s">
        <v>98</v>
      </c>
      <c r="B56" s="129">
        <v>39655</v>
      </c>
      <c r="C56" s="129" t="s">
        <v>101</v>
      </c>
      <c r="D56" s="130" t="s">
        <v>164</v>
      </c>
      <c r="E56" s="130">
        <v>26</v>
      </c>
      <c r="F56" s="130">
        <v>104</v>
      </c>
      <c r="G56" s="48">
        <v>2018</v>
      </c>
      <c r="H56" s="48" t="s">
        <v>167</v>
      </c>
      <c r="I56" s="48">
        <v>1482</v>
      </c>
      <c r="J56" s="131">
        <v>2</v>
      </c>
      <c r="K56" s="131">
        <v>0.44</v>
      </c>
      <c r="L56" s="131">
        <v>1.56</v>
      </c>
      <c r="M56" s="131">
        <v>2311.92</v>
      </c>
      <c r="N56" s="9"/>
      <c r="O56" s="9"/>
    </row>
    <row r="57" spans="1:15" x14ac:dyDescent="0.25">
      <c r="A57" s="6" t="s">
        <v>98</v>
      </c>
      <c r="B57" s="129">
        <v>39655</v>
      </c>
      <c r="C57" s="129" t="s">
        <v>101</v>
      </c>
      <c r="D57" s="130" t="s">
        <v>157</v>
      </c>
      <c r="E57" s="130">
        <v>44</v>
      </c>
      <c r="F57" s="130">
        <v>132</v>
      </c>
      <c r="G57" s="48">
        <v>2018</v>
      </c>
      <c r="H57" s="48" t="s">
        <v>167</v>
      </c>
      <c r="I57" s="48">
        <v>1892</v>
      </c>
      <c r="J57" s="131">
        <v>2</v>
      </c>
      <c r="K57" s="131">
        <v>0.44</v>
      </c>
      <c r="L57" s="131">
        <v>1.56</v>
      </c>
      <c r="M57" s="131">
        <v>2951.52</v>
      </c>
      <c r="N57" s="9"/>
      <c r="O57" s="9"/>
    </row>
    <row r="58" spans="1:15" x14ac:dyDescent="0.25">
      <c r="A58" s="6" t="s">
        <v>98</v>
      </c>
      <c r="B58" s="129">
        <v>39655</v>
      </c>
      <c r="C58" s="129" t="s">
        <v>101</v>
      </c>
      <c r="D58" s="130" t="s">
        <v>172</v>
      </c>
      <c r="E58" s="130">
        <v>43</v>
      </c>
      <c r="F58" s="130">
        <v>215</v>
      </c>
      <c r="G58" s="48">
        <v>2018</v>
      </c>
      <c r="H58" s="48" t="s">
        <v>167</v>
      </c>
      <c r="I58" s="48">
        <v>3053</v>
      </c>
      <c r="J58" s="131">
        <v>2.5</v>
      </c>
      <c r="K58" s="131">
        <v>0.48130000000000001</v>
      </c>
      <c r="L58" s="131">
        <v>2.0186999999999999</v>
      </c>
      <c r="M58" s="131">
        <v>6163.0910999999996</v>
      </c>
      <c r="N58" s="9"/>
      <c r="O58" s="9"/>
    </row>
    <row r="59" spans="1:15" x14ac:dyDescent="0.25">
      <c r="A59" s="6" t="s">
        <v>98</v>
      </c>
      <c r="B59" s="129">
        <v>39655</v>
      </c>
      <c r="C59" s="129" t="s">
        <v>101</v>
      </c>
      <c r="D59" s="130" t="s">
        <v>173</v>
      </c>
      <c r="E59" s="130">
        <v>17</v>
      </c>
      <c r="F59" s="130">
        <v>68</v>
      </c>
      <c r="G59" s="48">
        <v>2018</v>
      </c>
      <c r="H59" s="48" t="s">
        <v>167</v>
      </c>
      <c r="I59" s="48">
        <v>1003</v>
      </c>
      <c r="J59" s="131">
        <v>2</v>
      </c>
      <c r="K59" s="131">
        <v>0.44</v>
      </c>
      <c r="L59" s="131">
        <v>1.56</v>
      </c>
      <c r="M59" s="131">
        <v>1564.68</v>
      </c>
      <c r="N59" s="9"/>
      <c r="O59" s="9"/>
    </row>
    <row r="60" spans="1:15" x14ac:dyDescent="0.25">
      <c r="A60" s="6" t="s">
        <v>97</v>
      </c>
      <c r="B60" s="129">
        <v>39685</v>
      </c>
      <c r="C60" s="129" t="s">
        <v>101</v>
      </c>
      <c r="D60" s="130" t="s">
        <v>174</v>
      </c>
      <c r="E60" s="130">
        <v>98</v>
      </c>
      <c r="F60" s="130">
        <v>588</v>
      </c>
      <c r="G60" s="48">
        <v>2018</v>
      </c>
      <c r="H60" s="48" t="s">
        <v>167</v>
      </c>
      <c r="I60" s="48">
        <v>6370</v>
      </c>
      <c r="J60" s="131">
        <v>3.5</v>
      </c>
      <c r="K60" s="131">
        <v>0.93259999999999998</v>
      </c>
      <c r="L60" s="131">
        <v>2.5674000000000001</v>
      </c>
      <c r="M60" s="131">
        <v>16354.338000000002</v>
      </c>
      <c r="N60" s="9"/>
      <c r="O60" s="9"/>
    </row>
    <row r="61" spans="1:15" x14ac:dyDescent="0.25">
      <c r="A61" s="6" t="s">
        <v>97</v>
      </c>
      <c r="B61" s="129">
        <v>39685</v>
      </c>
      <c r="C61" s="129" t="s">
        <v>101</v>
      </c>
      <c r="D61" s="130" t="s">
        <v>175</v>
      </c>
      <c r="E61" s="130">
        <v>98</v>
      </c>
      <c r="F61" s="130">
        <v>588</v>
      </c>
      <c r="G61" s="48">
        <v>2018</v>
      </c>
      <c r="H61" s="48" t="s">
        <v>167</v>
      </c>
      <c r="I61" s="48">
        <v>6370</v>
      </c>
      <c r="J61" s="131">
        <v>3.5</v>
      </c>
      <c r="K61" s="131">
        <v>0.93259999999999998</v>
      </c>
      <c r="L61" s="131">
        <v>2.5674000000000001</v>
      </c>
      <c r="M61" s="131">
        <v>16354.338000000002</v>
      </c>
      <c r="N61" s="9"/>
      <c r="O61" s="9"/>
    </row>
    <row r="62" spans="1:15" x14ac:dyDescent="0.25">
      <c r="A62" s="6" t="s">
        <v>97</v>
      </c>
      <c r="B62" s="129">
        <v>39685</v>
      </c>
      <c r="C62" s="129" t="s">
        <v>101</v>
      </c>
      <c r="D62" s="130" t="s">
        <v>176</v>
      </c>
      <c r="E62" s="130">
        <v>49</v>
      </c>
      <c r="F62" s="130">
        <v>294</v>
      </c>
      <c r="G62" s="48">
        <v>2018</v>
      </c>
      <c r="H62" s="48" t="s">
        <v>167</v>
      </c>
      <c r="I62" s="48">
        <v>3332</v>
      </c>
      <c r="J62" s="131">
        <v>3.5</v>
      </c>
      <c r="K62" s="131">
        <v>0.93259999999999998</v>
      </c>
      <c r="L62" s="131">
        <v>2.5674000000000001</v>
      </c>
      <c r="M62" s="131">
        <v>8554.5768000000007</v>
      </c>
      <c r="N62" s="9"/>
      <c r="O62" s="9"/>
    </row>
    <row r="63" spans="1:15" x14ac:dyDescent="0.25">
      <c r="A63" s="6" t="s">
        <v>97</v>
      </c>
      <c r="B63" s="129">
        <v>39685</v>
      </c>
      <c r="C63" s="129" t="s">
        <v>101</v>
      </c>
      <c r="D63" s="130" t="s">
        <v>177</v>
      </c>
      <c r="E63" s="130">
        <v>49</v>
      </c>
      <c r="F63" s="130">
        <v>294</v>
      </c>
      <c r="G63" s="48">
        <v>2018</v>
      </c>
      <c r="H63" s="48" t="s">
        <v>167</v>
      </c>
      <c r="I63" s="48">
        <v>3332</v>
      </c>
      <c r="J63" s="131">
        <v>3.5</v>
      </c>
      <c r="K63" s="131">
        <v>0.93259999999999998</v>
      </c>
      <c r="L63" s="131">
        <v>2.5674000000000001</v>
      </c>
      <c r="M63" s="131">
        <v>8554.5768000000007</v>
      </c>
      <c r="N63" s="9"/>
      <c r="O63" s="9"/>
    </row>
    <row r="64" spans="1:15" x14ac:dyDescent="0.25">
      <c r="A64" s="6" t="s">
        <v>98</v>
      </c>
      <c r="B64" s="129">
        <v>39765</v>
      </c>
      <c r="C64" s="129" t="s">
        <v>101</v>
      </c>
      <c r="D64" s="130" t="s">
        <v>164</v>
      </c>
      <c r="E64" s="130">
        <v>32</v>
      </c>
      <c r="F64" s="130">
        <v>128</v>
      </c>
      <c r="G64" s="48">
        <v>2018</v>
      </c>
      <c r="H64" s="48" t="s">
        <v>167</v>
      </c>
      <c r="I64" s="48">
        <v>1824</v>
      </c>
      <c r="J64" s="131">
        <v>2</v>
      </c>
      <c r="K64" s="131">
        <v>0.44</v>
      </c>
      <c r="L64" s="131">
        <v>1.56</v>
      </c>
      <c r="M64" s="131">
        <v>2845.44</v>
      </c>
      <c r="N64" s="9"/>
      <c r="O64" s="9"/>
    </row>
    <row r="65" spans="1:22" x14ac:dyDescent="0.25">
      <c r="A65" s="6" t="s">
        <v>98</v>
      </c>
      <c r="B65" s="129">
        <v>39764</v>
      </c>
      <c r="C65" s="129" t="s">
        <v>101</v>
      </c>
      <c r="D65" s="130" t="s">
        <v>164</v>
      </c>
      <c r="E65" s="130">
        <v>18</v>
      </c>
      <c r="F65" s="130">
        <v>72</v>
      </c>
      <c r="G65" s="48">
        <v>2018</v>
      </c>
      <c r="H65" s="48" t="s">
        <v>167</v>
      </c>
      <c r="I65" s="48">
        <v>1026</v>
      </c>
      <c r="J65" s="131">
        <v>2</v>
      </c>
      <c r="K65" s="131">
        <v>0.44</v>
      </c>
      <c r="L65" s="131">
        <v>1.56</v>
      </c>
      <c r="M65" s="131">
        <v>1600.56</v>
      </c>
      <c r="N65" s="9"/>
      <c r="O65" s="9"/>
    </row>
    <row r="66" spans="1:22" x14ac:dyDescent="0.25">
      <c r="A66" s="6" t="s">
        <v>97</v>
      </c>
      <c r="B66" s="129">
        <v>39681</v>
      </c>
      <c r="C66" s="129" t="s">
        <v>101</v>
      </c>
      <c r="D66" s="130" t="s">
        <v>178</v>
      </c>
      <c r="E66" s="130">
        <v>43</v>
      </c>
      <c r="F66" s="130">
        <v>129</v>
      </c>
      <c r="G66" s="48">
        <v>2018</v>
      </c>
      <c r="H66" s="48" t="s">
        <v>167</v>
      </c>
      <c r="I66" s="48">
        <v>1505</v>
      </c>
      <c r="J66" s="131">
        <v>3.5</v>
      </c>
      <c r="K66" s="131">
        <v>0.93259999999999998</v>
      </c>
      <c r="L66" s="131">
        <v>2.5674000000000001</v>
      </c>
      <c r="M66" s="131">
        <v>3863.9370000000004</v>
      </c>
      <c r="N66" s="9"/>
      <c r="O66" s="9"/>
    </row>
    <row r="67" spans="1:22" x14ac:dyDescent="0.25">
      <c r="A67" s="6" t="s">
        <v>97</v>
      </c>
      <c r="B67" s="129">
        <v>39681</v>
      </c>
      <c r="C67" s="129" t="s">
        <v>101</v>
      </c>
      <c r="D67" s="130" t="s">
        <v>179</v>
      </c>
      <c r="E67" s="130">
        <v>44</v>
      </c>
      <c r="F67" s="130">
        <v>132</v>
      </c>
      <c r="G67" s="48">
        <v>2018</v>
      </c>
      <c r="H67" s="48" t="s">
        <v>167</v>
      </c>
      <c r="I67" s="48">
        <v>1540</v>
      </c>
      <c r="J67" s="131">
        <v>3.5</v>
      </c>
      <c r="K67" s="131">
        <v>0.93259999999999998</v>
      </c>
      <c r="L67" s="131">
        <v>2.5674000000000001</v>
      </c>
      <c r="M67" s="131">
        <v>3953.7960000000003</v>
      </c>
      <c r="N67" s="9"/>
      <c r="O67" s="9"/>
    </row>
    <row r="69" spans="1:22" x14ac:dyDescent="0.25">
      <c r="F69">
        <v>28699</v>
      </c>
    </row>
    <row r="70" spans="1:22" x14ac:dyDescent="0.25">
      <c r="F70">
        <v>9566.3333333333339</v>
      </c>
    </row>
    <row r="74" spans="1:22" x14ac:dyDescent="0.25">
      <c r="F74">
        <v>1097.3</v>
      </c>
    </row>
    <row r="75" spans="1:22" ht="15.75" thickBot="1" x14ac:dyDescent="0.3">
      <c r="M75" s="66">
        <v>795766.34089999995</v>
      </c>
      <c r="T75" s="67">
        <v>288998.85556400003</v>
      </c>
      <c r="U75" s="105">
        <v>0.6</v>
      </c>
      <c r="V75" s="112">
        <v>9.3800000000000008E-2</v>
      </c>
    </row>
    <row r="76" spans="1:22" x14ac:dyDescent="0.25">
      <c r="M76" s="113"/>
      <c r="N76" s="114" t="s">
        <v>191</v>
      </c>
      <c r="O76" s="115">
        <v>792646.34</v>
      </c>
      <c r="P76" s="116"/>
      <c r="R76" s="67">
        <v>264215.44666666666</v>
      </c>
      <c r="S76" s="67">
        <v>1268234.1440000001</v>
      </c>
      <c r="T76" s="67">
        <v>422744.7146666667</v>
      </c>
      <c r="U76" s="117">
        <v>158529.26800000004</v>
      </c>
      <c r="V76" s="67">
        <v>24783.408897333371</v>
      </c>
    </row>
    <row r="77" spans="1:22" x14ac:dyDescent="0.25">
      <c r="M77" s="118" t="s">
        <v>97</v>
      </c>
      <c r="N77" s="66">
        <v>632335.22</v>
      </c>
      <c r="O77" s="119">
        <v>0.79775202141222279</v>
      </c>
      <c r="P77" s="120" t="s">
        <v>167</v>
      </c>
      <c r="T77">
        <v>250000</v>
      </c>
      <c r="U77" s="121">
        <v>1.5769958642589577</v>
      </c>
      <c r="V77" s="4">
        <v>10.087393588010379</v>
      </c>
    </row>
    <row r="78" spans="1:22" x14ac:dyDescent="0.25">
      <c r="M78" s="118" t="s">
        <v>98</v>
      </c>
      <c r="N78" s="66">
        <v>158264.93</v>
      </c>
      <c r="O78" s="119">
        <v>0.1996665120537868</v>
      </c>
      <c r="P78" s="120" t="s">
        <v>156</v>
      </c>
      <c r="T78">
        <v>150000</v>
      </c>
      <c r="U78" s="121">
        <v>0.94619751855537471</v>
      </c>
      <c r="V78" s="4">
        <v>6.0524361528062265</v>
      </c>
    </row>
    <row r="79" spans="1:22" x14ac:dyDescent="0.25">
      <c r="M79" s="118" t="s">
        <v>99</v>
      </c>
      <c r="N79" s="66">
        <v>2046.2</v>
      </c>
      <c r="O79" s="119">
        <v>2.5814791499573445E-3</v>
      </c>
      <c r="P79" s="120" t="s">
        <v>180</v>
      </c>
    </row>
    <row r="80" spans="1:22" ht="15.75" thickBot="1" x14ac:dyDescent="0.3">
      <c r="M80" s="122" t="s">
        <v>90</v>
      </c>
      <c r="N80" s="123">
        <v>792646.34999999986</v>
      </c>
      <c r="O80" s="124">
        <v>1.0000000126159669</v>
      </c>
      <c r="P80" s="125"/>
    </row>
    <row r="81" spans="13:22" ht="15.75" thickBot="1" x14ac:dyDescent="0.3">
      <c r="T81" s="67">
        <v>157514.01437400002</v>
      </c>
    </row>
    <row r="82" spans="13:22" x14ac:dyDescent="0.25">
      <c r="M82" s="113"/>
      <c r="N82" s="114" t="s">
        <v>192</v>
      </c>
      <c r="O82" s="115">
        <v>288012.46000000002</v>
      </c>
      <c r="P82" s="116"/>
      <c r="R82" s="67">
        <v>144006.23000000001</v>
      </c>
      <c r="S82" s="67">
        <v>460819.93600000005</v>
      </c>
      <c r="T82" s="67">
        <v>230409.96800000002</v>
      </c>
      <c r="U82" s="117">
        <v>86403.738000000012</v>
      </c>
      <c r="V82" s="67">
        <v>13507.78437400001</v>
      </c>
    </row>
    <row r="83" spans="13:22" x14ac:dyDescent="0.25">
      <c r="M83" s="118" t="s">
        <v>97</v>
      </c>
      <c r="N83" s="66">
        <v>210914.48</v>
      </c>
      <c r="O83" s="119">
        <v>0.73231026185464332</v>
      </c>
      <c r="P83" s="120" t="s">
        <v>167</v>
      </c>
      <c r="T83">
        <v>250000</v>
      </c>
      <c r="U83" s="121">
        <v>2.8933933390705846</v>
      </c>
      <c r="V83" s="4">
        <v>18.507846518575157</v>
      </c>
    </row>
    <row r="84" spans="13:22" x14ac:dyDescent="0.25">
      <c r="M84" s="118" t="s">
        <v>98</v>
      </c>
      <c r="N84" s="66">
        <v>77097.990000000005</v>
      </c>
      <c r="O84" s="119">
        <v>0.2676897728660767</v>
      </c>
      <c r="P84" s="120" t="s">
        <v>156</v>
      </c>
      <c r="T84">
        <v>150000</v>
      </c>
      <c r="U84" s="121">
        <v>1.7360360034423508</v>
      </c>
      <c r="V84" s="4">
        <v>11.104707911145095</v>
      </c>
    </row>
    <row r="85" spans="13:22" x14ac:dyDescent="0.25">
      <c r="M85" s="118" t="s">
        <v>99</v>
      </c>
      <c r="N85" s="66">
        <v>0</v>
      </c>
      <c r="O85" s="119">
        <v>0</v>
      </c>
      <c r="P85" s="120"/>
      <c r="U85" s="121"/>
    </row>
    <row r="86" spans="13:22" ht="15.75" thickBot="1" x14ac:dyDescent="0.3">
      <c r="M86" s="122" t="s">
        <v>90</v>
      </c>
      <c r="N86" s="123">
        <v>288012.47000000003</v>
      </c>
      <c r="O86" s="124">
        <v>1.0000000347207201</v>
      </c>
      <c r="P86" s="125"/>
    </row>
    <row r="87" spans="13:22" ht="15.75" thickBot="1" x14ac:dyDescent="0.3"/>
    <row r="88" spans="13:22" x14ac:dyDescent="0.25">
      <c r="M88" s="113"/>
      <c r="N88" s="114" t="s">
        <v>193</v>
      </c>
      <c r="O88" s="115">
        <v>24123.01</v>
      </c>
      <c r="P88" s="116"/>
      <c r="R88" s="67">
        <v>24123.01</v>
      </c>
      <c r="S88" s="67">
        <v>38596.815999999999</v>
      </c>
      <c r="T88" s="67">
        <v>26385.748338000001</v>
      </c>
      <c r="U88" s="67">
        <v>14473.806</v>
      </c>
      <c r="V88" s="67">
        <v>2262.7383380000028</v>
      </c>
    </row>
    <row r="89" spans="13:22" x14ac:dyDescent="0.25">
      <c r="M89" s="118" t="s">
        <v>97</v>
      </c>
      <c r="N89" s="66">
        <v>0</v>
      </c>
      <c r="O89" s="119">
        <v>0</v>
      </c>
      <c r="P89" s="120" t="s">
        <v>167</v>
      </c>
      <c r="T89">
        <v>250000</v>
      </c>
      <c r="U89" s="121">
        <v>17.27258193180149</v>
      </c>
      <c r="V89" s="4">
        <v>110.48559871088359</v>
      </c>
    </row>
    <row r="90" spans="13:22" x14ac:dyDescent="0.25">
      <c r="M90" s="118" t="s">
        <v>98</v>
      </c>
      <c r="N90" s="66">
        <v>24123.01</v>
      </c>
      <c r="O90" s="119">
        <v>1</v>
      </c>
      <c r="P90" s="120"/>
      <c r="T90">
        <v>150000</v>
      </c>
      <c r="U90" s="121">
        <v>10.363549159080893</v>
      </c>
      <c r="V90" s="4">
        <v>66.291359226530162</v>
      </c>
    </row>
    <row r="91" spans="13:22" x14ac:dyDescent="0.25">
      <c r="M91" s="118" t="s">
        <v>99</v>
      </c>
      <c r="N91" s="66">
        <v>0</v>
      </c>
      <c r="O91" s="119">
        <v>0</v>
      </c>
      <c r="P91" s="120"/>
      <c r="U91" s="121"/>
    </row>
    <row r="92" spans="13:22" ht="15.75" thickBot="1" x14ac:dyDescent="0.3">
      <c r="M92" s="122" t="s">
        <v>90</v>
      </c>
      <c r="N92" s="123">
        <v>24123.01</v>
      </c>
      <c r="O92" s="124">
        <v>1</v>
      </c>
      <c r="P92" s="125"/>
    </row>
    <row r="96" spans="13:22" x14ac:dyDescent="0.25">
      <c r="M96" s="6" t="s">
        <v>194</v>
      </c>
      <c r="N96" s="6">
        <v>2017</v>
      </c>
    </row>
    <row r="97" spans="13:14" x14ac:dyDescent="0.25">
      <c r="M97" s="6" t="s">
        <v>195</v>
      </c>
      <c r="N97" s="126">
        <v>2112711.98</v>
      </c>
    </row>
    <row r="98" spans="13:14" x14ac:dyDescent="0.25">
      <c r="M98" s="6" t="s">
        <v>196</v>
      </c>
      <c r="N98" s="126">
        <v>3290</v>
      </c>
    </row>
    <row r="99" spans="13:14" x14ac:dyDescent="0.25">
      <c r="M99" s="6" t="s">
        <v>197</v>
      </c>
      <c r="N99" s="126">
        <v>825256.21</v>
      </c>
    </row>
    <row r="100" spans="13:14" x14ac:dyDescent="0.25">
      <c r="M100" s="6" t="s">
        <v>154</v>
      </c>
      <c r="N100" s="126">
        <v>2941258.18</v>
      </c>
    </row>
    <row r="101" spans="13:14" x14ac:dyDescent="0.25">
      <c r="M101" s="6" t="s">
        <v>198</v>
      </c>
      <c r="N101" s="127">
        <v>0.71830211790520204</v>
      </c>
    </row>
    <row r="102" spans="13:14" x14ac:dyDescent="0.25">
      <c r="M102" s="6" t="s">
        <v>199</v>
      </c>
      <c r="N102" s="127">
        <v>0.28057931656989049</v>
      </c>
    </row>
    <row r="103" spans="13:14" x14ac:dyDescent="0.25">
      <c r="M103" s="6" t="s">
        <v>200</v>
      </c>
      <c r="N103" s="127">
        <v>1.1185689248129859E-3</v>
      </c>
    </row>
    <row r="105" spans="13:14" x14ac:dyDescent="0.25">
      <c r="M105" s="6" t="s">
        <v>201</v>
      </c>
      <c r="N105" s="6">
        <v>2018</v>
      </c>
    </row>
    <row r="106" spans="13:14" x14ac:dyDescent="0.25">
      <c r="M106" s="6" t="s">
        <v>195</v>
      </c>
      <c r="N106" s="126">
        <v>1212148.56</v>
      </c>
    </row>
    <row r="107" spans="13:14" x14ac:dyDescent="0.25">
      <c r="M107" s="6" t="s">
        <v>197</v>
      </c>
      <c r="N107" s="126">
        <v>4023387.61</v>
      </c>
    </row>
    <row r="108" spans="13:14" x14ac:dyDescent="0.25">
      <c r="M108" s="6" t="s">
        <v>154</v>
      </c>
      <c r="N108" s="126">
        <v>5235536.17</v>
      </c>
    </row>
    <row r="109" spans="13:14" x14ac:dyDescent="0.25">
      <c r="M109" s="6" t="s">
        <v>198</v>
      </c>
      <c r="N109" s="7">
        <v>0.23152329019245418</v>
      </c>
    </row>
    <row r="110" spans="13:14" x14ac:dyDescent="0.25">
      <c r="M110" s="6" t="s">
        <v>198</v>
      </c>
      <c r="N110" s="7">
        <v>0.76847670980754579</v>
      </c>
    </row>
  </sheetData>
  <sheetProtection algorithmName="SHA-512" hashValue="cMiGVGDMQTT+Yq98MBnPHPBltxl9DLtzCNaSUakl/VYQT2sNOIRpNy6QW0qdbnLqT0s5PVBFl2XmkuVd9FFhGw==" saltValue="KzbOTHiGAkSLLZv50ccwvQ==" spinCount="100000" sheet="1" objects="1" scenarios="1"/>
  <autoFilter ref="A7:M7">
    <sortState ref="A8:M67">
      <sortCondition ref="G7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 tint="0.39997558519241921"/>
  </sheetPr>
  <dimension ref="C6:AN89"/>
  <sheetViews>
    <sheetView zoomScale="62" zoomScaleNormal="62" workbookViewId="0"/>
  </sheetViews>
  <sheetFormatPr defaultColWidth="9.140625" defaultRowHeight="15" x14ac:dyDescent="0.25"/>
  <cols>
    <col min="1" max="2" width="9.140625" style="9"/>
    <col min="3" max="3" width="23.140625" style="9" customWidth="1"/>
    <col min="4" max="4" width="11.7109375" style="9" customWidth="1"/>
    <col min="5" max="16" width="9.140625" style="9"/>
    <col min="17" max="17" width="11" style="9" customWidth="1"/>
    <col min="18" max="18" width="9.140625" style="9"/>
    <col min="19" max="19" width="21.140625" style="9" bestFit="1" customWidth="1"/>
    <col min="20" max="20" width="7.140625" style="9" customWidth="1"/>
    <col min="21" max="21" width="4.42578125" style="9" customWidth="1"/>
    <col min="22" max="22" width="1.42578125" style="132" customWidth="1"/>
    <col min="23" max="23" width="2.28515625" style="9" customWidth="1"/>
    <col min="24" max="16384" width="9.140625" style="9"/>
  </cols>
  <sheetData>
    <row r="6" spans="3:40" ht="15.75" thickBot="1" x14ac:dyDescent="0.3"/>
    <row r="7" spans="3:40" ht="15.75" thickBot="1" x14ac:dyDescent="0.3">
      <c r="C7" s="133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5"/>
      <c r="V7" s="136"/>
    </row>
    <row r="8" spans="3:40" x14ac:dyDescent="0.25">
      <c r="C8" s="137"/>
      <c r="D8" s="138" t="s">
        <v>34</v>
      </c>
      <c r="E8" s="139"/>
      <c r="F8" s="140"/>
      <c r="G8" s="141"/>
      <c r="H8" s="141"/>
      <c r="I8" s="141"/>
      <c r="J8" s="141"/>
      <c r="K8" s="141"/>
      <c r="L8" s="141"/>
      <c r="M8" s="141"/>
      <c r="N8" s="141"/>
      <c r="O8" s="142"/>
      <c r="P8" s="139"/>
      <c r="Q8" s="139"/>
      <c r="R8" s="139"/>
      <c r="S8" s="139" t="s">
        <v>202</v>
      </c>
      <c r="T8" s="143">
        <v>0.29166666666666669</v>
      </c>
      <c r="U8" s="144"/>
      <c r="V8" s="145"/>
      <c r="X8" s="146" t="s">
        <v>203</v>
      </c>
      <c r="Y8" s="147"/>
      <c r="Z8" s="147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2"/>
    </row>
    <row r="9" spans="3:40" ht="15.75" thickBot="1" x14ac:dyDescent="0.3">
      <c r="C9" s="137"/>
      <c r="D9" s="148" t="s">
        <v>204</v>
      </c>
      <c r="E9" s="139"/>
      <c r="F9" s="140"/>
      <c r="G9" s="149">
        <v>1</v>
      </c>
      <c r="H9" s="139"/>
      <c r="I9" s="139"/>
      <c r="J9" s="139"/>
      <c r="K9" s="150">
        <v>18</v>
      </c>
      <c r="L9" s="139"/>
      <c r="M9" s="139"/>
      <c r="N9" s="139"/>
      <c r="O9" s="140"/>
      <c r="P9" s="139"/>
      <c r="Q9" s="139"/>
      <c r="R9" s="139"/>
      <c r="S9" s="139" t="s">
        <v>114</v>
      </c>
      <c r="T9" s="143">
        <v>4.1666666666666664E-2</v>
      </c>
      <c r="U9" s="144"/>
      <c r="V9" s="145"/>
      <c r="X9" s="151" t="s">
        <v>205</v>
      </c>
      <c r="AN9" s="140"/>
    </row>
    <row r="10" spans="3:40" ht="15.75" thickBot="1" x14ac:dyDescent="0.3">
      <c r="C10" s="137"/>
      <c r="D10" s="148" t="s">
        <v>206</v>
      </c>
      <c r="E10" s="139"/>
      <c r="F10" s="140"/>
      <c r="G10" s="139"/>
      <c r="H10" s="152"/>
      <c r="I10" s="153"/>
      <c r="J10" s="153"/>
      <c r="K10" s="153"/>
      <c r="L10" s="153"/>
      <c r="M10" s="153"/>
      <c r="N10" s="154"/>
      <c r="O10" s="140">
        <v>1.5</v>
      </c>
      <c r="P10" s="139"/>
      <c r="Q10" s="139"/>
      <c r="R10" s="139"/>
      <c r="S10" s="139" t="s">
        <v>207</v>
      </c>
      <c r="T10" s="143">
        <v>1.0416666666666666E-2</v>
      </c>
      <c r="U10" s="144"/>
      <c r="V10" s="145"/>
      <c r="X10" s="151" t="s">
        <v>208</v>
      </c>
      <c r="AN10" s="140"/>
    </row>
    <row r="11" spans="3:40" ht="15.75" thickBot="1" x14ac:dyDescent="0.3">
      <c r="C11" s="137"/>
      <c r="D11" s="148" t="s">
        <v>209</v>
      </c>
      <c r="E11" s="139"/>
      <c r="F11" s="140"/>
      <c r="G11" s="139"/>
      <c r="H11" s="155"/>
      <c r="I11" s="156"/>
      <c r="J11" s="156"/>
      <c r="K11" s="156"/>
      <c r="L11" s="156"/>
      <c r="M11" s="156"/>
      <c r="N11" s="157"/>
      <c r="O11" s="140"/>
      <c r="P11" s="139"/>
      <c r="Q11" s="366" t="s">
        <v>210</v>
      </c>
      <c r="R11" s="139"/>
      <c r="S11" s="139" t="s">
        <v>211</v>
      </c>
      <c r="T11" s="143">
        <v>0.6875</v>
      </c>
      <c r="U11" s="144"/>
      <c r="V11" s="145"/>
      <c r="X11" s="151" t="s">
        <v>212</v>
      </c>
      <c r="AN11" s="140"/>
    </row>
    <row r="12" spans="3:40" ht="15" customHeight="1" x14ac:dyDescent="0.25">
      <c r="C12" s="137"/>
      <c r="D12" s="363" t="s">
        <v>213</v>
      </c>
      <c r="E12" s="142"/>
      <c r="F12" s="141"/>
      <c r="G12" s="139"/>
      <c r="H12" s="139"/>
      <c r="I12" s="139"/>
      <c r="J12" s="139"/>
      <c r="K12" s="139"/>
      <c r="L12" s="139"/>
      <c r="M12" s="139"/>
      <c r="N12" s="139"/>
      <c r="O12" s="140"/>
      <c r="P12" s="139"/>
      <c r="Q12" s="367"/>
      <c r="R12" s="139"/>
      <c r="S12" s="139" t="s">
        <v>119</v>
      </c>
      <c r="T12" s="143">
        <f>T11-T10-T9-T8</f>
        <v>0.34375000000000006</v>
      </c>
      <c r="U12" s="144"/>
      <c r="V12" s="145"/>
      <c r="X12" s="151" t="s">
        <v>214</v>
      </c>
      <c r="AN12" s="140"/>
    </row>
    <row r="13" spans="3:40" ht="15.75" thickBot="1" x14ac:dyDescent="0.3">
      <c r="C13" s="137"/>
      <c r="D13" s="364"/>
      <c r="E13" s="140"/>
      <c r="F13" s="139"/>
      <c r="G13" s="156"/>
      <c r="H13" s="139"/>
      <c r="I13" s="139"/>
      <c r="J13" s="139">
        <v>16</v>
      </c>
      <c r="K13" s="139"/>
      <c r="L13" s="139"/>
      <c r="M13" s="139"/>
      <c r="N13" s="139"/>
      <c r="O13" s="140"/>
      <c r="P13" s="139"/>
      <c r="Q13" s="367"/>
      <c r="R13" s="139"/>
      <c r="S13" s="139"/>
      <c r="T13" s="139"/>
      <c r="U13" s="144"/>
      <c r="V13" s="145"/>
      <c r="X13" s="151" t="s">
        <v>215</v>
      </c>
      <c r="AN13" s="140"/>
    </row>
    <row r="14" spans="3:40" ht="15.75" thickBot="1" x14ac:dyDescent="0.3">
      <c r="C14" s="137"/>
      <c r="D14" s="364"/>
      <c r="E14" s="140"/>
      <c r="F14" s="158">
        <v>1</v>
      </c>
      <c r="G14" s="152"/>
      <c r="H14" s="153"/>
      <c r="I14" s="153"/>
      <c r="J14" s="153"/>
      <c r="K14" s="153"/>
      <c r="L14" s="153"/>
      <c r="M14" s="154"/>
      <c r="N14" s="158">
        <v>1</v>
      </c>
      <c r="O14" s="140"/>
      <c r="P14" s="139"/>
      <c r="Q14" s="368"/>
      <c r="R14" s="139"/>
      <c r="S14" s="139"/>
      <c r="T14" s="139"/>
      <c r="U14" s="144"/>
      <c r="V14" s="145"/>
      <c r="X14" s="151" t="s">
        <v>216</v>
      </c>
      <c r="AN14" s="140"/>
    </row>
    <row r="15" spans="3:40" ht="15.75" thickBot="1" x14ac:dyDescent="0.3">
      <c r="C15" s="137"/>
      <c r="D15" s="159"/>
      <c r="E15" s="160"/>
      <c r="F15" s="139"/>
      <c r="G15" s="155"/>
      <c r="H15" s="156"/>
      <c r="I15" s="156"/>
      <c r="J15" s="156"/>
      <c r="K15" s="156"/>
      <c r="L15" s="156"/>
      <c r="M15" s="157"/>
      <c r="N15" s="139"/>
      <c r="O15" s="140"/>
      <c r="P15" s="139"/>
      <c r="Q15" s="139"/>
      <c r="R15" s="139"/>
      <c r="S15" s="139"/>
      <c r="T15" s="139"/>
      <c r="U15" s="144"/>
      <c r="V15" s="145"/>
      <c r="X15" s="151" t="s">
        <v>217</v>
      </c>
      <c r="AN15" s="140"/>
    </row>
    <row r="16" spans="3:40" x14ac:dyDescent="0.25">
      <c r="C16" s="137"/>
      <c r="D16" s="139"/>
      <c r="E16" s="139"/>
      <c r="F16" s="161">
        <v>1.5</v>
      </c>
      <c r="G16" s="139"/>
      <c r="H16" s="139"/>
      <c r="I16" s="139"/>
      <c r="J16" s="139">
        <v>16</v>
      </c>
      <c r="K16" s="139"/>
      <c r="L16" s="139"/>
      <c r="M16" s="139"/>
      <c r="N16" s="139"/>
      <c r="O16" s="162">
        <v>1.5</v>
      </c>
      <c r="P16" s="139"/>
      <c r="Q16" s="139"/>
      <c r="R16" s="139"/>
      <c r="S16" s="139"/>
      <c r="T16" s="139"/>
      <c r="U16" s="144"/>
      <c r="V16" s="145"/>
      <c r="X16" s="151" t="s">
        <v>218</v>
      </c>
      <c r="AN16" s="140"/>
    </row>
    <row r="17" spans="3:40" ht="15.75" thickBot="1" x14ac:dyDescent="0.3">
      <c r="C17" s="137"/>
      <c r="D17" s="139"/>
      <c r="E17" s="139"/>
      <c r="F17" s="159"/>
      <c r="G17" s="163"/>
      <c r="H17" s="163"/>
      <c r="I17" s="369" t="s">
        <v>219</v>
      </c>
      <c r="J17" s="369"/>
      <c r="K17" s="163"/>
      <c r="L17" s="163"/>
      <c r="M17" s="163">
        <v>18</v>
      </c>
      <c r="N17" s="163"/>
      <c r="O17" s="160"/>
      <c r="P17" s="139"/>
      <c r="Q17" s="139"/>
      <c r="R17" s="139"/>
      <c r="S17" s="139"/>
      <c r="T17" s="139"/>
      <c r="U17" s="144"/>
      <c r="V17" s="145"/>
      <c r="X17" s="164"/>
      <c r="AB17" s="165"/>
      <c r="AN17" s="140"/>
    </row>
    <row r="18" spans="3:40" x14ac:dyDescent="0.25">
      <c r="C18" s="137"/>
      <c r="D18" s="139"/>
      <c r="E18" s="139"/>
      <c r="F18" s="139"/>
      <c r="G18" s="139"/>
      <c r="H18" s="166"/>
      <c r="I18" s="141"/>
      <c r="J18" s="141"/>
      <c r="K18" s="141"/>
      <c r="L18" s="141"/>
      <c r="M18" s="141"/>
      <c r="N18" s="142"/>
      <c r="O18" s="139"/>
      <c r="P18" s="139"/>
      <c r="Q18" s="139"/>
      <c r="R18" s="139"/>
      <c r="S18" s="139"/>
      <c r="T18" s="139"/>
      <c r="U18" s="144"/>
      <c r="V18" s="145"/>
      <c r="X18" s="167" t="s">
        <v>220</v>
      </c>
      <c r="Y18" s="165"/>
      <c r="Z18" s="165"/>
      <c r="AA18" s="165"/>
      <c r="AN18" s="140"/>
    </row>
    <row r="19" spans="3:40" ht="15.75" thickBot="1" x14ac:dyDescent="0.3">
      <c r="C19" s="137"/>
      <c r="D19" s="48" t="s">
        <v>24</v>
      </c>
      <c r="E19" s="48" t="s">
        <v>221</v>
      </c>
      <c r="F19" s="139"/>
      <c r="G19" s="139"/>
      <c r="H19" s="159"/>
      <c r="I19" s="163"/>
      <c r="J19" s="163"/>
      <c r="K19" s="163"/>
      <c r="L19" s="163"/>
      <c r="M19" s="163"/>
      <c r="N19" s="160"/>
      <c r="O19" s="139"/>
      <c r="P19" s="139"/>
      <c r="Q19" s="139"/>
      <c r="R19" s="139"/>
      <c r="S19" s="139"/>
      <c r="T19" s="139"/>
      <c r="U19" s="144"/>
      <c r="V19" s="145"/>
      <c r="X19" s="168" t="s">
        <v>222</v>
      </c>
      <c r="Y19" s="169"/>
      <c r="AN19" s="140"/>
    </row>
    <row r="20" spans="3:40" ht="15.75" thickBot="1" x14ac:dyDescent="0.3">
      <c r="C20" s="28" t="s">
        <v>223</v>
      </c>
      <c r="D20" s="170">
        <f>'[1]SIMULAÇÃO 100%'!E28</f>
        <v>3.7820512820512824</v>
      </c>
      <c r="E20" s="48" t="s">
        <v>224</v>
      </c>
      <c r="F20" s="139"/>
      <c r="G20" s="166"/>
      <c r="H20" s="141"/>
      <c r="I20" s="141"/>
      <c r="J20" s="141"/>
      <c r="K20" s="141"/>
      <c r="L20" s="141"/>
      <c r="M20" s="141"/>
      <c r="N20" s="141"/>
      <c r="O20" s="142"/>
      <c r="P20" s="139"/>
      <c r="Q20" s="139"/>
      <c r="R20" s="139"/>
      <c r="S20" s="139"/>
      <c r="T20" s="139"/>
      <c r="U20" s="144"/>
      <c r="V20" s="145"/>
      <c r="X20" s="168" t="s">
        <v>225</v>
      </c>
      <c r="Y20" s="169"/>
      <c r="AN20" s="140"/>
    </row>
    <row r="21" spans="3:40" x14ac:dyDescent="0.25">
      <c r="C21" s="28" t="s">
        <v>226</v>
      </c>
      <c r="D21" s="171">
        <f>'[1]SIMULAÇÃO 100%'!E7</f>
        <v>1712.8205128205129</v>
      </c>
      <c r="E21" s="48" t="s">
        <v>227</v>
      </c>
      <c r="F21" s="139"/>
      <c r="G21" s="164"/>
      <c r="H21" s="152"/>
      <c r="I21" s="153"/>
      <c r="J21" s="153"/>
      <c r="K21" s="153"/>
      <c r="L21" s="153"/>
      <c r="M21" s="153"/>
      <c r="N21" s="154"/>
      <c r="O21" s="140"/>
      <c r="P21" s="139"/>
      <c r="Q21" s="139"/>
      <c r="R21" s="139"/>
      <c r="S21" s="139"/>
      <c r="T21" s="139"/>
      <c r="U21" s="144"/>
      <c r="V21" s="145"/>
      <c r="X21" s="168" t="s">
        <v>228</v>
      </c>
      <c r="Y21" s="169"/>
      <c r="AN21" s="140"/>
    </row>
    <row r="22" spans="3:40" ht="15.75" thickBot="1" x14ac:dyDescent="0.3">
      <c r="C22" s="28" t="s">
        <v>229</v>
      </c>
      <c r="D22" s="172">
        <f>'[1]SIMULAÇÃO 100%'!E6</f>
        <v>13702.564102564103</v>
      </c>
      <c r="E22" s="48" t="s">
        <v>227</v>
      </c>
      <c r="F22" s="139"/>
      <c r="G22" s="164"/>
      <c r="H22" s="155"/>
      <c r="I22" s="156"/>
      <c r="J22" s="156"/>
      <c r="K22" s="156"/>
      <c r="L22" s="156"/>
      <c r="M22" s="156"/>
      <c r="N22" s="157"/>
      <c r="O22" s="140"/>
      <c r="P22" s="139"/>
      <c r="Q22" s="139"/>
      <c r="R22" s="139"/>
      <c r="S22" s="139"/>
      <c r="T22" s="139"/>
      <c r="U22" s="144"/>
      <c r="V22" s="145"/>
      <c r="X22" s="168" t="s">
        <v>230</v>
      </c>
      <c r="Y22" s="169"/>
      <c r="AN22" s="140"/>
    </row>
    <row r="23" spans="3:40" ht="15.75" thickBot="1" x14ac:dyDescent="0.3">
      <c r="C23" s="28" t="s">
        <v>231</v>
      </c>
      <c r="D23" s="48">
        <v>230</v>
      </c>
      <c r="E23" s="48" t="s">
        <v>232</v>
      </c>
      <c r="F23" s="139"/>
      <c r="G23" s="164"/>
      <c r="H23" s="139"/>
      <c r="I23" s="139"/>
      <c r="J23" s="139"/>
      <c r="K23" s="139"/>
      <c r="L23" s="139"/>
      <c r="M23" s="139"/>
      <c r="N23" s="139"/>
      <c r="O23" s="140"/>
      <c r="P23" s="139"/>
      <c r="Q23" s="139"/>
      <c r="R23" s="139"/>
      <c r="S23" s="139"/>
      <c r="T23" s="139"/>
      <c r="U23" s="144"/>
      <c r="V23" s="145"/>
      <c r="X23" s="168" t="s">
        <v>233</v>
      </c>
      <c r="AN23" s="140"/>
    </row>
    <row r="24" spans="3:40" ht="15" customHeight="1" thickBot="1" x14ac:dyDescent="0.3">
      <c r="C24" s="28" t="s">
        <v>234</v>
      </c>
      <c r="D24" s="48" t="str">
        <f>'[1]SIMULAÇÃO 100%'!E34</f>
        <v>19X3,7</v>
      </c>
      <c r="E24" s="48" t="s">
        <v>235</v>
      </c>
      <c r="F24" s="139"/>
      <c r="G24" s="164"/>
      <c r="H24" s="139"/>
      <c r="I24" s="139"/>
      <c r="J24" s="139"/>
      <c r="K24" s="139"/>
      <c r="L24" s="139"/>
      <c r="M24" s="139"/>
      <c r="N24" s="139"/>
      <c r="O24" s="140"/>
      <c r="P24" s="139"/>
      <c r="Q24" s="139"/>
      <c r="R24" s="370" t="s">
        <v>236</v>
      </c>
      <c r="S24" s="371"/>
      <c r="T24" s="139"/>
      <c r="U24" s="144"/>
      <c r="V24" s="145"/>
      <c r="X24" s="168" t="s">
        <v>237</v>
      </c>
      <c r="AN24" s="140"/>
    </row>
    <row r="25" spans="3:40" x14ac:dyDescent="0.25">
      <c r="C25" s="48" t="s">
        <v>238</v>
      </c>
      <c r="D25" s="48" t="s">
        <v>239</v>
      </c>
      <c r="E25" s="48"/>
      <c r="F25" s="139"/>
      <c r="G25" s="164"/>
      <c r="H25" s="152"/>
      <c r="I25" s="153"/>
      <c r="J25" s="153"/>
      <c r="K25" s="153"/>
      <c r="L25" s="153"/>
      <c r="M25" s="153"/>
      <c r="N25" s="154"/>
      <c r="O25" s="140"/>
      <c r="P25" s="139"/>
      <c r="Q25" s="139"/>
      <c r="R25" s="372"/>
      <c r="S25" s="373"/>
      <c r="T25" s="139"/>
      <c r="U25" s="144"/>
      <c r="V25" s="145"/>
      <c r="X25" s="168" t="s">
        <v>240</v>
      </c>
      <c r="AN25" s="140"/>
    </row>
    <row r="26" spans="3:40" ht="15.75" thickBot="1" x14ac:dyDescent="0.3">
      <c r="C26" s="137"/>
      <c r="D26" s="139"/>
      <c r="E26" s="139"/>
      <c r="F26" s="139"/>
      <c r="G26" s="164"/>
      <c r="H26" s="155"/>
      <c r="I26" s="156"/>
      <c r="J26" s="156"/>
      <c r="K26" s="156"/>
      <c r="L26" s="156"/>
      <c r="M26" s="156"/>
      <c r="N26" s="157"/>
      <c r="O26" s="140"/>
      <c r="P26" s="139"/>
      <c r="Q26" s="139"/>
      <c r="R26" s="372"/>
      <c r="S26" s="373"/>
      <c r="T26" s="139"/>
      <c r="U26" s="144"/>
      <c r="V26" s="145"/>
      <c r="X26" s="168" t="s">
        <v>241</v>
      </c>
      <c r="AN26" s="140"/>
    </row>
    <row r="27" spans="3:40" ht="15.75" thickBot="1" x14ac:dyDescent="0.3">
      <c r="C27" s="137" t="s">
        <v>242</v>
      </c>
      <c r="D27" s="173">
        <f>'[1]SIMULAÇÃO 100%'!K17</f>
        <v>9.375E-2</v>
      </c>
      <c r="E27" s="139"/>
      <c r="F27" s="139"/>
      <c r="G27" s="164"/>
      <c r="H27" s="139"/>
      <c r="I27" s="139"/>
      <c r="J27" s="139"/>
      <c r="K27" s="139"/>
      <c r="L27" s="139"/>
      <c r="M27" s="139"/>
      <c r="N27" s="139"/>
      <c r="O27" s="140"/>
      <c r="P27" s="139"/>
      <c r="Q27" s="139"/>
      <c r="R27" s="374"/>
      <c r="S27" s="375"/>
      <c r="T27" s="139"/>
      <c r="U27" s="144"/>
      <c r="V27" s="145"/>
      <c r="X27" s="168" t="s">
        <v>243</v>
      </c>
      <c r="AN27" s="140"/>
    </row>
    <row r="28" spans="3:40" ht="15.75" thickBot="1" x14ac:dyDescent="0.3">
      <c r="C28" s="137"/>
      <c r="D28" s="139"/>
      <c r="E28" s="139"/>
      <c r="F28" s="139"/>
      <c r="G28" s="164"/>
      <c r="H28" s="139"/>
      <c r="I28" s="139"/>
      <c r="J28" s="139"/>
      <c r="K28" s="139"/>
      <c r="L28" s="139"/>
      <c r="M28" s="139"/>
      <c r="N28" s="139"/>
      <c r="O28" s="140"/>
      <c r="P28" s="139"/>
      <c r="Q28" s="139"/>
      <c r="R28" s="139"/>
      <c r="S28" s="139"/>
      <c r="T28" s="139"/>
      <c r="U28" s="144"/>
      <c r="V28" s="145"/>
      <c r="X28" s="174" t="s">
        <v>244</v>
      </c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0"/>
    </row>
    <row r="29" spans="3:40" ht="15.75" thickBot="1" x14ac:dyDescent="0.3">
      <c r="C29" s="137"/>
      <c r="D29" s="139"/>
      <c r="E29" s="139"/>
      <c r="F29" s="139"/>
      <c r="G29" s="159"/>
      <c r="H29" s="163"/>
      <c r="I29" s="163"/>
      <c r="J29" s="163"/>
      <c r="K29" s="163" t="s">
        <v>245</v>
      </c>
      <c r="L29" s="163"/>
      <c r="M29" s="163"/>
      <c r="N29" s="163"/>
      <c r="O29" s="160"/>
      <c r="P29" s="139"/>
      <c r="Q29" s="139"/>
      <c r="R29" s="139"/>
      <c r="S29" s="139"/>
      <c r="T29" s="139"/>
      <c r="U29" s="144"/>
      <c r="V29" s="145"/>
    </row>
    <row r="30" spans="3:40" x14ac:dyDescent="0.25">
      <c r="C30" s="175"/>
      <c r="D30" s="176"/>
      <c r="E30" s="176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7"/>
      <c r="V30" s="145"/>
    </row>
    <row r="31" spans="3:40" ht="9.9499999999999993" customHeight="1" x14ac:dyDescent="0.25">
      <c r="C31" s="178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45"/>
      <c r="V31" s="145"/>
    </row>
    <row r="32" spans="3:40" x14ac:dyDescent="0.25">
      <c r="C32" s="133"/>
      <c r="D32" s="134"/>
      <c r="E32" s="134"/>
      <c r="F32" s="134"/>
      <c r="G32" s="134"/>
      <c r="H32" s="134"/>
      <c r="I32" s="134"/>
      <c r="J32" s="134"/>
      <c r="K32" s="134"/>
      <c r="L32" s="180"/>
      <c r="M32" s="134"/>
      <c r="N32" s="134"/>
      <c r="O32" s="134"/>
      <c r="P32" s="134"/>
      <c r="Q32" s="134"/>
      <c r="R32" s="134"/>
      <c r="S32" s="134" t="s">
        <v>202</v>
      </c>
      <c r="T32" s="181">
        <v>0.29166666666666669</v>
      </c>
      <c r="U32" s="135"/>
      <c r="V32" s="145"/>
    </row>
    <row r="33" spans="3:40" ht="15.75" thickBot="1" x14ac:dyDescent="0.3">
      <c r="C33" s="137"/>
      <c r="D33" s="139"/>
      <c r="E33" s="139"/>
      <c r="F33" s="139"/>
      <c r="G33" s="139"/>
      <c r="H33" s="139"/>
      <c r="I33" s="139"/>
      <c r="J33" s="139"/>
      <c r="K33" s="139"/>
      <c r="L33" s="148"/>
      <c r="M33" s="139"/>
      <c r="N33" s="139"/>
      <c r="O33" s="139"/>
      <c r="P33" s="139"/>
      <c r="Q33" s="139"/>
      <c r="R33" s="139"/>
      <c r="S33" s="139" t="s">
        <v>114</v>
      </c>
      <c r="T33" s="143">
        <v>4.1666666666666664E-2</v>
      </c>
      <c r="U33" s="144"/>
      <c r="V33" s="145"/>
    </row>
    <row r="34" spans="3:40" x14ac:dyDescent="0.25">
      <c r="C34" s="137"/>
      <c r="D34" s="48" t="s">
        <v>24</v>
      </c>
      <c r="E34" s="48" t="s">
        <v>221</v>
      </c>
      <c r="F34" s="139"/>
      <c r="G34" s="139"/>
      <c r="H34" s="139"/>
      <c r="I34" s="166"/>
      <c r="J34" s="141"/>
      <c r="K34" s="141"/>
      <c r="L34" s="141">
        <v>10</v>
      </c>
      <c r="M34" s="141"/>
      <c r="N34" s="141"/>
      <c r="O34" s="142"/>
      <c r="P34" s="139"/>
      <c r="Q34" s="139"/>
      <c r="R34" s="139"/>
      <c r="S34" s="139" t="s">
        <v>207</v>
      </c>
      <c r="T34" s="143">
        <v>1.0416666666666666E-2</v>
      </c>
      <c r="U34" s="144"/>
      <c r="V34" s="145"/>
      <c r="X34" s="146" t="s">
        <v>246</v>
      </c>
      <c r="Y34" s="147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2"/>
    </row>
    <row r="35" spans="3:40" x14ac:dyDescent="0.25">
      <c r="C35" s="48" t="s">
        <v>223</v>
      </c>
      <c r="D35" s="182">
        <f>'[1]SIMULAÇÃO 100%'!F28</f>
        <v>3.794354838709677</v>
      </c>
      <c r="E35" s="48" t="s">
        <v>224</v>
      </c>
      <c r="F35" s="139"/>
      <c r="G35" s="139"/>
      <c r="H35" s="139"/>
      <c r="I35" s="164">
        <v>0.15</v>
      </c>
      <c r="J35" s="139"/>
      <c r="K35" s="139"/>
      <c r="L35" s="139"/>
      <c r="M35" s="139"/>
      <c r="N35" s="139"/>
      <c r="O35" s="140"/>
      <c r="P35" s="139"/>
      <c r="Q35" s="139"/>
      <c r="R35" s="139"/>
      <c r="S35" s="139" t="s">
        <v>211</v>
      </c>
      <c r="T35" s="143">
        <v>0.6875</v>
      </c>
      <c r="U35" s="144"/>
      <c r="V35" s="145"/>
      <c r="X35" s="151" t="s">
        <v>205</v>
      </c>
      <c r="AN35" s="140"/>
    </row>
    <row r="36" spans="3:40" x14ac:dyDescent="0.25">
      <c r="C36" s="48" t="s">
        <v>226</v>
      </c>
      <c r="D36" s="171">
        <f>'[1]SIMULAÇÃO 100%'!F7</f>
        <v>1717.741935483871</v>
      </c>
      <c r="E36" s="48" t="s">
        <v>227</v>
      </c>
      <c r="F36" s="139"/>
      <c r="G36" s="139"/>
      <c r="H36" s="139"/>
      <c r="I36" s="164"/>
      <c r="J36" s="139"/>
      <c r="K36" s="139"/>
      <c r="L36" s="139">
        <v>10</v>
      </c>
      <c r="M36" s="139"/>
      <c r="N36" s="139"/>
      <c r="O36" s="140"/>
      <c r="P36" s="139"/>
      <c r="Q36" s="139"/>
      <c r="R36" s="139"/>
      <c r="S36" s="139" t="s">
        <v>119</v>
      </c>
      <c r="T36" s="143">
        <f>T35-T34-T33-T32</f>
        <v>0.34375000000000006</v>
      </c>
      <c r="U36" s="144"/>
      <c r="V36" s="145"/>
      <c r="X36" s="151" t="s">
        <v>208</v>
      </c>
      <c r="AN36" s="140"/>
    </row>
    <row r="37" spans="3:40" x14ac:dyDescent="0.25">
      <c r="C37" s="48" t="s">
        <v>229</v>
      </c>
      <c r="D37" s="48">
        <f>'[1]SIMULAÇÃO 100%'!F6</f>
        <v>13741.935483870968</v>
      </c>
      <c r="E37" s="48" t="s">
        <v>227</v>
      </c>
      <c r="F37" s="139"/>
      <c r="G37" s="183"/>
      <c r="H37" s="139"/>
      <c r="I37" s="164"/>
      <c r="J37" s="139"/>
      <c r="K37" s="139"/>
      <c r="L37" s="139">
        <v>10</v>
      </c>
      <c r="M37" s="139"/>
      <c r="N37" s="139"/>
      <c r="O37" s="140">
        <v>0.15</v>
      </c>
      <c r="P37" s="139"/>
      <c r="Q37" s="139"/>
      <c r="R37" s="139"/>
      <c r="S37" s="139"/>
      <c r="T37" s="139"/>
      <c r="U37" s="144"/>
      <c r="V37" s="145"/>
      <c r="X37" s="151" t="s">
        <v>212</v>
      </c>
      <c r="AN37" s="140"/>
    </row>
    <row r="38" spans="3:40" x14ac:dyDescent="0.25">
      <c r="C38" s="48" t="s">
        <v>231</v>
      </c>
      <c r="D38" s="48">
        <v>230</v>
      </c>
      <c r="E38" s="48" t="s">
        <v>232</v>
      </c>
      <c r="F38" s="139"/>
      <c r="G38" s="139"/>
      <c r="H38" s="139"/>
      <c r="I38" s="164">
        <v>0.15</v>
      </c>
      <c r="J38" s="139"/>
      <c r="K38" s="139"/>
      <c r="L38" s="139"/>
      <c r="M38" s="139"/>
      <c r="N38" s="139"/>
      <c r="O38" s="162"/>
      <c r="P38" s="139"/>
      <c r="Q38" s="139"/>
      <c r="R38" s="139"/>
      <c r="S38" s="139"/>
      <c r="T38" s="139"/>
      <c r="U38" s="144"/>
      <c r="V38" s="145"/>
      <c r="X38" s="151" t="s">
        <v>214</v>
      </c>
      <c r="AN38" s="140"/>
    </row>
    <row r="39" spans="3:40" ht="15.75" customHeight="1" thickBot="1" x14ac:dyDescent="0.3">
      <c r="C39" s="48" t="s">
        <v>247</v>
      </c>
      <c r="D39" s="48" t="str">
        <f>'[1]SIMULAÇÃO 100%'!F34</f>
        <v>11X2</v>
      </c>
      <c r="E39" s="48" t="s">
        <v>235</v>
      </c>
      <c r="F39" s="139"/>
      <c r="G39" s="139"/>
      <c r="H39" s="139"/>
      <c r="I39" s="164"/>
      <c r="J39" s="139"/>
      <c r="K39" s="139"/>
      <c r="L39" s="139">
        <v>10</v>
      </c>
      <c r="M39" s="139"/>
      <c r="N39" s="139"/>
      <c r="O39" s="140"/>
      <c r="P39" s="139"/>
      <c r="Q39" s="139"/>
      <c r="R39" s="139"/>
      <c r="S39" s="139"/>
      <c r="T39" s="139"/>
      <c r="U39" s="144"/>
      <c r="V39" s="145"/>
      <c r="X39" s="151" t="s">
        <v>215</v>
      </c>
      <c r="AN39" s="140"/>
    </row>
    <row r="40" spans="3:40" ht="15" customHeight="1" x14ac:dyDescent="0.25">
      <c r="C40" s="48" t="s">
        <v>238</v>
      </c>
      <c r="D40" s="48" t="s">
        <v>239</v>
      </c>
      <c r="E40" s="48"/>
      <c r="F40" s="139"/>
      <c r="G40" s="139"/>
      <c r="H40" s="139"/>
      <c r="I40" s="164"/>
      <c r="J40" s="152"/>
      <c r="K40" s="153"/>
      <c r="L40" s="153"/>
      <c r="M40" s="153"/>
      <c r="N40" s="154"/>
      <c r="O40" s="184">
        <v>0.5</v>
      </c>
      <c r="P40" s="139"/>
      <c r="Q40" s="376" t="s">
        <v>210</v>
      </c>
      <c r="R40" s="139"/>
      <c r="S40" s="139"/>
      <c r="T40" s="139"/>
      <c r="U40" s="144"/>
      <c r="V40" s="145"/>
      <c r="X40" s="151" t="s">
        <v>216</v>
      </c>
      <c r="AN40" s="140"/>
    </row>
    <row r="41" spans="3:40" ht="15.75" thickBot="1" x14ac:dyDescent="0.3">
      <c r="C41" s="137"/>
      <c r="D41" s="139"/>
      <c r="E41" s="139"/>
      <c r="F41" s="138" t="s">
        <v>35</v>
      </c>
      <c r="G41" s="139"/>
      <c r="H41" s="139"/>
      <c r="I41" s="164"/>
      <c r="J41" s="155"/>
      <c r="K41" s="156"/>
      <c r="L41" s="156"/>
      <c r="M41" s="156"/>
      <c r="N41" s="157"/>
      <c r="O41" s="140"/>
      <c r="P41" s="139"/>
      <c r="Q41" s="376"/>
      <c r="R41" s="139"/>
      <c r="S41" s="139"/>
      <c r="T41" s="139"/>
      <c r="U41" s="144"/>
      <c r="V41" s="145"/>
      <c r="X41" s="151" t="s">
        <v>217</v>
      </c>
      <c r="AN41" s="140"/>
    </row>
    <row r="42" spans="3:40" x14ac:dyDescent="0.25">
      <c r="C42" s="137" t="s">
        <v>242</v>
      </c>
      <c r="D42" s="173">
        <f>'[1]SIMULAÇÃO 100%'!L17</f>
        <v>0.59687500000000004</v>
      </c>
      <c r="E42" s="139"/>
      <c r="F42" s="363" t="s">
        <v>213</v>
      </c>
      <c r="G42" s="377"/>
      <c r="H42" s="139"/>
      <c r="I42" s="164"/>
      <c r="J42" s="139"/>
      <c r="K42" s="139"/>
      <c r="L42" s="139"/>
      <c r="M42" s="139">
        <v>10</v>
      </c>
      <c r="N42" s="139"/>
      <c r="O42" s="140"/>
      <c r="P42" s="139"/>
      <c r="Q42" s="376"/>
      <c r="R42" s="139"/>
      <c r="S42" s="139"/>
      <c r="T42" s="139"/>
      <c r="U42" s="144"/>
      <c r="V42" s="145"/>
      <c r="X42" s="164"/>
      <c r="AN42" s="140"/>
    </row>
    <row r="43" spans="3:40" x14ac:dyDescent="0.25">
      <c r="C43" s="137"/>
      <c r="D43" s="139"/>
      <c r="E43" s="139"/>
      <c r="F43" s="364"/>
      <c r="G43" s="378"/>
      <c r="H43" s="139"/>
      <c r="I43" s="164"/>
      <c r="J43" s="139"/>
      <c r="K43" s="139"/>
      <c r="L43" s="148" t="s">
        <v>219</v>
      </c>
      <c r="M43" s="139"/>
      <c r="N43" s="139"/>
      <c r="O43" s="140"/>
      <c r="P43" s="139"/>
      <c r="Q43" s="376"/>
      <c r="R43" s="139"/>
      <c r="S43" s="139"/>
      <c r="T43" s="139"/>
      <c r="U43" s="144"/>
      <c r="V43" s="145"/>
      <c r="X43" s="167" t="s">
        <v>220</v>
      </c>
      <c r="Y43" s="165"/>
      <c r="AN43" s="140"/>
    </row>
    <row r="44" spans="3:40" ht="15.75" customHeight="1" x14ac:dyDescent="0.25">
      <c r="C44" s="137"/>
      <c r="D44" s="139"/>
      <c r="E44" s="139"/>
      <c r="F44" s="364"/>
      <c r="G44" s="378"/>
      <c r="H44" s="139"/>
      <c r="I44" s="164">
        <v>0.15</v>
      </c>
      <c r="J44" s="139"/>
      <c r="K44" s="139"/>
      <c r="L44" s="139"/>
      <c r="M44" s="139">
        <v>10</v>
      </c>
      <c r="N44" s="139"/>
      <c r="O44" s="140"/>
      <c r="P44" s="139"/>
      <c r="Q44" s="376"/>
      <c r="R44" s="139"/>
      <c r="S44" s="139"/>
      <c r="T44" s="139"/>
      <c r="U44" s="144"/>
      <c r="V44" s="145"/>
      <c r="X44" s="168" t="s">
        <v>222</v>
      </c>
      <c r="Y44" s="169"/>
      <c r="AN44" s="140"/>
    </row>
    <row r="45" spans="3:40" ht="15" customHeight="1" x14ac:dyDescent="0.25">
      <c r="C45" s="137"/>
      <c r="D45" s="139"/>
      <c r="E45" s="139"/>
      <c r="F45" s="364"/>
      <c r="G45" s="378"/>
      <c r="H45" s="139"/>
      <c r="I45" s="164"/>
      <c r="J45" s="139"/>
      <c r="K45" s="139"/>
      <c r="L45" s="139"/>
      <c r="M45" s="139">
        <v>10</v>
      </c>
      <c r="N45" s="139"/>
      <c r="O45" s="140"/>
      <c r="P45" s="139"/>
      <c r="Q45" s="139"/>
      <c r="R45" s="139"/>
      <c r="S45" s="139"/>
      <c r="T45" s="139"/>
      <c r="U45" s="144"/>
      <c r="V45" s="145"/>
      <c r="X45" s="168" t="s">
        <v>225</v>
      </c>
      <c r="Y45" s="169"/>
      <c r="AN45" s="140"/>
    </row>
    <row r="46" spans="3:40" x14ac:dyDescent="0.25">
      <c r="C46" s="137"/>
      <c r="D46" s="139"/>
      <c r="E46" s="139"/>
      <c r="F46" s="364"/>
      <c r="G46" s="378"/>
      <c r="H46" s="139"/>
      <c r="I46" s="164"/>
      <c r="J46" s="139"/>
      <c r="K46" s="139"/>
      <c r="L46" s="139"/>
      <c r="M46" s="139"/>
      <c r="N46" s="139"/>
      <c r="O46" s="140">
        <v>0.15</v>
      </c>
      <c r="P46" s="139"/>
      <c r="Q46" s="139"/>
      <c r="R46" s="139"/>
      <c r="S46" s="139"/>
      <c r="T46" s="139"/>
      <c r="U46" s="144"/>
      <c r="V46" s="145"/>
      <c r="X46" s="168" t="s">
        <v>228</v>
      </c>
      <c r="Y46" s="169"/>
      <c r="AN46" s="140"/>
    </row>
    <row r="47" spans="3:40" ht="15.75" thickBot="1" x14ac:dyDescent="0.3">
      <c r="C47" s="137"/>
      <c r="D47" s="139"/>
      <c r="E47" s="139"/>
      <c r="F47" s="365"/>
      <c r="G47" s="379"/>
      <c r="H47" s="139"/>
      <c r="I47" s="159"/>
      <c r="J47" s="163"/>
      <c r="K47" s="163"/>
      <c r="L47" s="163"/>
      <c r="M47" s="163">
        <v>10</v>
      </c>
      <c r="N47" s="163"/>
      <c r="O47" s="160"/>
      <c r="P47" s="139"/>
      <c r="Q47" s="139"/>
      <c r="R47" s="139"/>
      <c r="S47" s="139"/>
      <c r="T47" s="139"/>
      <c r="U47" s="144"/>
      <c r="V47" s="145"/>
      <c r="X47" s="168" t="s">
        <v>230</v>
      </c>
      <c r="Y47" s="169"/>
      <c r="AN47" s="140"/>
    </row>
    <row r="48" spans="3:40" x14ac:dyDescent="0.25">
      <c r="C48" s="137"/>
      <c r="D48" s="148" t="s">
        <v>248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44"/>
      <c r="V48" s="145"/>
      <c r="X48" s="168" t="s">
        <v>249</v>
      </c>
      <c r="AN48" s="140"/>
    </row>
    <row r="49" spans="3:40" ht="15.75" customHeight="1" thickBot="1" x14ac:dyDescent="0.3">
      <c r="C49" s="185"/>
      <c r="D49" s="148" t="s">
        <v>250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44"/>
      <c r="V49" s="145"/>
      <c r="X49" s="174" t="s">
        <v>251</v>
      </c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0"/>
    </row>
    <row r="50" spans="3:40" x14ac:dyDescent="0.25">
      <c r="C50" s="137"/>
      <c r="D50" s="148" t="s">
        <v>252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44"/>
      <c r="V50" s="145"/>
    </row>
    <row r="51" spans="3:40" x14ac:dyDescent="0.25">
      <c r="C51" s="18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7"/>
      <c r="V51" s="145"/>
    </row>
    <row r="52" spans="3:40" ht="9.9499999999999993" customHeight="1" thickBot="1" x14ac:dyDescent="0.3">
      <c r="C52" s="187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9"/>
      <c r="V52" s="145"/>
    </row>
    <row r="53" spans="3:40" x14ac:dyDescent="0.25">
      <c r="C53" s="166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 t="s">
        <v>202</v>
      </c>
      <c r="T53" s="190">
        <v>0.30555555555555552</v>
      </c>
      <c r="U53" s="142"/>
      <c r="V53" s="145"/>
      <c r="X53" s="165" t="s">
        <v>253</v>
      </c>
    </row>
    <row r="54" spans="3:40" ht="15.75" thickBot="1" x14ac:dyDescent="0.3">
      <c r="C54" s="164"/>
      <c r="D54" s="169" t="s">
        <v>254</v>
      </c>
      <c r="S54" s="9" t="s">
        <v>114</v>
      </c>
      <c r="T54" s="191">
        <v>4.1666666666666664E-2</v>
      </c>
      <c r="U54" s="140"/>
      <c r="V54" s="145"/>
    </row>
    <row r="55" spans="3:40" x14ac:dyDescent="0.25">
      <c r="C55" s="164"/>
      <c r="G55" s="166"/>
      <c r="H55" s="141"/>
      <c r="I55" s="141"/>
      <c r="J55" s="141"/>
      <c r="K55" s="141"/>
      <c r="L55" s="141"/>
      <c r="M55" s="141"/>
      <c r="N55" s="141"/>
      <c r="O55" s="141"/>
      <c r="P55" s="141"/>
      <c r="Q55" s="142"/>
      <c r="S55" s="9" t="s">
        <v>211</v>
      </c>
      <c r="T55" s="191">
        <v>0.6875</v>
      </c>
      <c r="U55" s="140"/>
      <c r="V55" s="145"/>
    </row>
    <row r="56" spans="3:40" x14ac:dyDescent="0.25">
      <c r="C56" s="164"/>
      <c r="G56" s="164"/>
      <c r="L56" s="9">
        <v>20</v>
      </c>
      <c r="Q56" s="140"/>
      <c r="S56" s="9" t="s">
        <v>119</v>
      </c>
      <c r="T56" s="191">
        <f>T55-T53-T54</f>
        <v>0.34027777777777779</v>
      </c>
      <c r="U56" s="140"/>
      <c r="V56" s="145"/>
    </row>
    <row r="57" spans="3:40" ht="15.75" thickBot="1" x14ac:dyDescent="0.3">
      <c r="C57" s="164"/>
      <c r="G57" s="164"/>
      <c r="Q57" s="140"/>
      <c r="U57" s="140"/>
      <c r="V57" s="145"/>
    </row>
    <row r="58" spans="3:40" ht="15.75" thickBot="1" x14ac:dyDescent="0.3">
      <c r="C58" s="164"/>
      <c r="D58" s="363" t="s">
        <v>213</v>
      </c>
      <c r="E58" s="142"/>
      <c r="G58" s="164"/>
      <c r="Q58" s="140"/>
      <c r="U58" s="140"/>
      <c r="V58" s="145"/>
    </row>
    <row r="59" spans="3:40" x14ac:dyDescent="0.25">
      <c r="C59" s="164"/>
      <c r="D59" s="364"/>
      <c r="E59" s="140"/>
      <c r="G59" s="164"/>
      <c r="H59" s="152"/>
      <c r="I59" s="153"/>
      <c r="J59" s="153"/>
      <c r="K59" s="153"/>
      <c r="L59" s="153"/>
      <c r="M59" s="153"/>
      <c r="N59" s="153"/>
      <c r="O59" s="153"/>
      <c r="P59" s="154"/>
      <c r="Q59" s="140"/>
      <c r="U59" s="140"/>
      <c r="V59" s="145"/>
    </row>
    <row r="60" spans="3:40" ht="15.75" thickBot="1" x14ac:dyDescent="0.3">
      <c r="C60" s="164"/>
      <c r="D60" s="365"/>
      <c r="E60" s="160"/>
      <c r="G60" s="164"/>
      <c r="H60" s="155"/>
      <c r="I60" s="156"/>
      <c r="J60" s="156"/>
      <c r="K60" s="156"/>
      <c r="L60" s="156"/>
      <c r="M60" s="156"/>
      <c r="N60" s="156"/>
      <c r="O60" s="156"/>
      <c r="P60" s="157"/>
      <c r="Q60" s="140"/>
      <c r="U60" s="140"/>
      <c r="V60" s="145"/>
    </row>
    <row r="61" spans="3:40" x14ac:dyDescent="0.25">
      <c r="C61" s="164"/>
      <c r="G61" s="164"/>
      <c r="P61" s="192"/>
      <c r="Q61" s="266"/>
      <c r="S61" s="366" t="s">
        <v>210</v>
      </c>
      <c r="U61" s="140"/>
      <c r="V61" s="145"/>
    </row>
    <row r="62" spans="3:40" x14ac:dyDescent="0.25">
      <c r="C62" s="164"/>
      <c r="G62" s="164"/>
      <c r="L62" s="9">
        <v>20</v>
      </c>
      <c r="P62" s="192"/>
      <c r="Q62" s="266"/>
      <c r="S62" s="367"/>
      <c r="U62" s="140"/>
      <c r="V62" s="145"/>
    </row>
    <row r="63" spans="3:40" x14ac:dyDescent="0.25">
      <c r="C63" s="164"/>
      <c r="G63" s="164"/>
      <c r="P63" s="192"/>
      <c r="Q63" s="266"/>
      <c r="S63" s="367"/>
      <c r="U63" s="140"/>
      <c r="V63" s="145"/>
    </row>
    <row r="64" spans="3:40" ht="15.75" thickBot="1" x14ac:dyDescent="0.3">
      <c r="C64" s="164"/>
      <c r="G64" s="159"/>
      <c r="H64" s="163"/>
      <c r="I64" s="163"/>
      <c r="J64" s="163"/>
      <c r="K64" s="163"/>
      <c r="L64" s="193" t="s">
        <v>255</v>
      </c>
      <c r="M64" s="163"/>
      <c r="N64" s="163"/>
      <c r="O64" s="163"/>
      <c r="P64" s="194"/>
      <c r="Q64" s="267"/>
      <c r="S64" s="368"/>
      <c r="U64" s="140"/>
      <c r="V64" s="145"/>
    </row>
    <row r="65" spans="3:22" x14ac:dyDescent="0.25">
      <c r="C65" s="164"/>
      <c r="D65" s="48" t="s">
        <v>24</v>
      </c>
      <c r="E65" s="48" t="s">
        <v>221</v>
      </c>
      <c r="U65" s="140"/>
      <c r="V65" s="145"/>
    </row>
    <row r="66" spans="3:22" x14ac:dyDescent="0.25">
      <c r="C66" s="195" t="s">
        <v>223</v>
      </c>
      <c r="D66" s="170">
        <f>'[1]SIMULAÇÃO 100%'!D28</f>
        <v>3.7857142857142856</v>
      </c>
      <c r="E66" s="48" t="s">
        <v>224</v>
      </c>
      <c r="L66" s="165" t="s">
        <v>256</v>
      </c>
      <c r="T66" s="191"/>
      <c r="U66" s="140"/>
      <c r="V66" s="145"/>
    </row>
    <row r="67" spans="3:22" x14ac:dyDescent="0.25">
      <c r="C67" s="195" t="s">
        <v>226</v>
      </c>
      <c r="D67" s="171">
        <f>'[1]SIMULAÇÃO 100%'!D7</f>
        <v>1714.2857142857142</v>
      </c>
      <c r="E67" s="48" t="s">
        <v>227</v>
      </c>
      <c r="L67" s="165" t="s">
        <v>257</v>
      </c>
      <c r="T67" s="191"/>
      <c r="U67" s="140"/>
      <c r="V67" s="145"/>
    </row>
    <row r="68" spans="3:22" x14ac:dyDescent="0.25">
      <c r="C68" s="195" t="s">
        <v>229</v>
      </c>
      <c r="D68" s="171">
        <f>'[1]SIMULAÇÃO 100%'!D6</f>
        <v>13714.285714285714</v>
      </c>
      <c r="E68" s="48" t="s">
        <v>227</v>
      </c>
      <c r="L68" s="165" t="s">
        <v>258</v>
      </c>
      <c r="T68" s="191"/>
      <c r="U68" s="140"/>
      <c r="V68" s="145"/>
    </row>
    <row r="69" spans="3:22" x14ac:dyDescent="0.25">
      <c r="C69" s="195" t="s">
        <v>231</v>
      </c>
      <c r="D69" s="48">
        <v>260</v>
      </c>
      <c r="E69" s="48" t="s">
        <v>232</v>
      </c>
      <c r="T69" s="191"/>
      <c r="U69" s="140"/>
      <c r="V69" s="145"/>
    </row>
    <row r="70" spans="3:22" x14ac:dyDescent="0.25">
      <c r="C70" s="195" t="s">
        <v>234</v>
      </c>
      <c r="D70" s="48" t="str">
        <f>'[1]SIMULAÇÃO 100%'!D34</f>
        <v>22X2,1</v>
      </c>
      <c r="E70" s="48" t="s">
        <v>235</v>
      </c>
      <c r="T70" s="191"/>
      <c r="U70" s="140"/>
      <c r="V70" s="145"/>
    </row>
    <row r="71" spans="3:22" x14ac:dyDescent="0.25">
      <c r="C71" s="196" t="s">
        <v>259</v>
      </c>
      <c r="D71" s="48" t="s">
        <v>239</v>
      </c>
      <c r="E71" s="48"/>
      <c r="T71" s="191"/>
      <c r="U71" s="140"/>
      <c r="V71" s="145"/>
    </row>
    <row r="72" spans="3:22" x14ac:dyDescent="0.25">
      <c r="C72" s="164"/>
      <c r="T72" s="191"/>
      <c r="U72" s="140"/>
      <c r="V72" s="145"/>
    </row>
    <row r="73" spans="3:22" ht="15.75" thickBot="1" x14ac:dyDescent="0.3">
      <c r="C73" s="159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97"/>
      <c r="U73" s="160"/>
      <c r="V73" s="189"/>
    </row>
    <row r="75" spans="3:22" x14ac:dyDescent="0.25">
      <c r="C75" s="9" t="s">
        <v>260</v>
      </c>
      <c r="D75" s="198">
        <v>43133</v>
      </c>
    </row>
    <row r="76" spans="3:22" x14ac:dyDescent="0.25">
      <c r="C76" s="9" t="s">
        <v>261</v>
      </c>
      <c r="D76" s="198">
        <v>43152</v>
      </c>
      <c r="S76" s="9" t="s">
        <v>262</v>
      </c>
      <c r="T76" s="191">
        <v>0.30555555555555552</v>
      </c>
    </row>
    <row r="77" spans="3:22" x14ac:dyDescent="0.25">
      <c r="C77" s="9" t="s">
        <v>263</v>
      </c>
      <c r="D77" s="198">
        <v>43159</v>
      </c>
      <c r="S77" s="9" t="s">
        <v>264</v>
      </c>
      <c r="T77" s="191">
        <v>4.1666666666666664E-2</v>
      </c>
    </row>
    <row r="78" spans="3:22" x14ac:dyDescent="0.25">
      <c r="S78" s="9" t="s">
        <v>202</v>
      </c>
      <c r="T78" s="191">
        <v>0.34722222222222227</v>
      </c>
    </row>
    <row r="79" spans="3:22" x14ac:dyDescent="0.25">
      <c r="S79" s="9" t="s">
        <v>114</v>
      </c>
      <c r="T79" s="191">
        <v>5.2083333333333336E-2</v>
      </c>
    </row>
    <row r="80" spans="3:22" x14ac:dyDescent="0.25">
      <c r="S80" s="9" t="s">
        <v>265</v>
      </c>
      <c r="T80" s="191">
        <v>2.0833333333333332E-2</v>
      </c>
    </row>
    <row r="81" spans="3:20" x14ac:dyDescent="0.25">
      <c r="S81" s="9" t="s">
        <v>211</v>
      </c>
      <c r="T81" s="191">
        <v>0.6875</v>
      </c>
    </row>
    <row r="82" spans="3:20" x14ac:dyDescent="0.25">
      <c r="S82" s="9" t="s">
        <v>119</v>
      </c>
      <c r="T82" s="191">
        <f>T81-T80-T78-T77</f>
        <v>0.27777777777777768</v>
      </c>
    </row>
    <row r="83" spans="3:20" ht="15.75" thickBot="1" x14ac:dyDescent="0.3">
      <c r="D83" s="48" t="s">
        <v>266</v>
      </c>
      <c r="E83" s="48" t="s">
        <v>267</v>
      </c>
      <c r="S83" s="163" t="s">
        <v>85</v>
      </c>
      <c r="T83" s="197">
        <f>T66-T82</f>
        <v>-0.27777777777777768</v>
      </c>
    </row>
    <row r="84" spans="3:20" x14ac:dyDescent="0.25">
      <c r="C84" s="48" t="s">
        <v>223</v>
      </c>
      <c r="D84" s="170">
        <f>'[1]SIMULAÇÃO 100%'!D15</f>
        <v>3.7857142857142856</v>
      </c>
      <c r="E84" s="48" t="s">
        <v>224</v>
      </c>
      <c r="G84" s="9" t="s">
        <v>268</v>
      </c>
    </row>
    <row r="85" spans="3:20" x14ac:dyDescent="0.25">
      <c r="C85" s="48" t="s">
        <v>226</v>
      </c>
      <c r="D85" s="171">
        <f>'[1]SIMULAÇÃO 100%'!D7</f>
        <v>1714.2857142857142</v>
      </c>
      <c r="E85" s="48" t="s">
        <v>227</v>
      </c>
    </row>
    <row r="86" spans="3:20" x14ac:dyDescent="0.25">
      <c r="C86" s="48" t="s">
        <v>229</v>
      </c>
      <c r="D86" s="171">
        <f>'[1]SIMULAÇÃO 100%'!D6</f>
        <v>13714.285714285714</v>
      </c>
      <c r="E86" s="48" t="s">
        <v>227</v>
      </c>
    </row>
    <row r="87" spans="3:20" x14ac:dyDescent="0.25">
      <c r="C87" s="48" t="s">
        <v>231</v>
      </c>
      <c r="D87" s="48">
        <v>260</v>
      </c>
      <c r="E87" s="48" t="s">
        <v>232</v>
      </c>
    </row>
    <row r="88" spans="3:20" x14ac:dyDescent="0.25">
      <c r="C88" s="48" t="s">
        <v>234</v>
      </c>
      <c r="D88" s="48" t="str">
        <f>'[1]SIMULAÇÃO 100%'!D34</f>
        <v>22X2,1</v>
      </c>
      <c r="E88" s="48" t="s">
        <v>235</v>
      </c>
    </row>
    <row r="89" spans="3:20" x14ac:dyDescent="0.25">
      <c r="C89" s="48" t="s">
        <v>259</v>
      </c>
      <c r="D89" s="48" t="s">
        <v>239</v>
      </c>
      <c r="E89" s="48"/>
    </row>
  </sheetData>
  <sheetProtection algorithmName="SHA-512" hashValue="voBOrSbtjOFa3CIlYhV88WGqs1enZTzeA2b36sGGLlZhXT9OOL3IHr0zaNqiSNAcHcDXFvXSKZQWN64GaSiYJg==" saltValue="RxSTFavlvhCbhzRjGBQS8A==" spinCount="100000" sheet="1" objects="1" scenarios="1"/>
  <mergeCells count="8">
    <mergeCell ref="D58:D60"/>
    <mergeCell ref="S61:S64"/>
    <mergeCell ref="Q11:Q14"/>
    <mergeCell ref="D12:D14"/>
    <mergeCell ref="I17:J17"/>
    <mergeCell ref="R24:S27"/>
    <mergeCell ref="Q40:Q44"/>
    <mergeCell ref="F42:G47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8"/>
  </sheetPr>
  <dimension ref="B2:AH69"/>
  <sheetViews>
    <sheetView showGridLines="0" zoomScale="80" zoomScaleNormal="80" workbookViewId="0"/>
  </sheetViews>
  <sheetFormatPr defaultRowHeight="15" x14ac:dyDescent="0.25"/>
  <cols>
    <col min="2" max="2" width="0" hidden="1" customWidth="1"/>
    <col min="5" max="5" width="47.42578125" bestFit="1" customWidth="1"/>
    <col min="6" max="6" width="18.140625" customWidth="1"/>
    <col min="7" max="7" width="13.140625" bestFit="1" customWidth="1"/>
    <col min="8" max="8" width="13" bestFit="1" customWidth="1"/>
    <col min="9" max="9" width="14.42578125" bestFit="1" customWidth="1"/>
    <col min="10" max="10" width="11.7109375" bestFit="1" customWidth="1"/>
    <col min="11" max="11" width="10.7109375" bestFit="1" customWidth="1"/>
    <col min="13" max="13" width="11.28515625" bestFit="1" customWidth="1"/>
    <col min="14" max="14" width="20.140625" bestFit="1" customWidth="1"/>
    <col min="18" max="18" width="13.42578125" bestFit="1" customWidth="1"/>
    <col min="28" max="28" width="30.85546875" bestFit="1" customWidth="1"/>
    <col min="30" max="30" width="28.85546875" bestFit="1" customWidth="1"/>
    <col min="33" max="33" width="14" bestFit="1" customWidth="1"/>
  </cols>
  <sheetData>
    <row r="2" spans="2:34" x14ac:dyDescent="0.25">
      <c r="AB2" s="199" t="s">
        <v>34</v>
      </c>
      <c r="AC2" s="199" t="s">
        <v>269</v>
      </c>
      <c r="AD2" s="199" t="s">
        <v>35</v>
      </c>
      <c r="AE2" s="200" t="s">
        <v>270</v>
      </c>
    </row>
    <row r="3" spans="2:34" x14ac:dyDescent="0.25">
      <c r="AB3" s="199"/>
      <c r="AC3" s="199"/>
      <c r="AD3" s="199"/>
      <c r="AE3" s="200"/>
    </row>
    <row r="4" spans="2:34" x14ac:dyDescent="0.25">
      <c r="AB4" s="199"/>
      <c r="AC4" s="199"/>
      <c r="AD4" s="199"/>
      <c r="AE4" s="200"/>
    </row>
    <row r="5" spans="2:34" ht="15.75" thickBot="1" x14ac:dyDescent="0.3">
      <c r="C5" s="201"/>
      <c r="AB5" s="265" t="s">
        <v>271</v>
      </c>
      <c r="AC5" s="265"/>
      <c r="AD5" s="265" t="s">
        <v>271</v>
      </c>
      <c r="AE5" s="6"/>
      <c r="AG5" s="199" t="s">
        <v>272</v>
      </c>
      <c r="AH5" s="199" t="s">
        <v>270</v>
      </c>
    </row>
    <row r="6" spans="2:34" ht="15.75" thickBot="1" x14ac:dyDescent="0.3">
      <c r="C6" s="202"/>
      <c r="D6" s="203"/>
      <c r="E6" s="203"/>
      <c r="F6" s="204">
        <v>42930</v>
      </c>
      <c r="G6" s="203"/>
      <c r="H6" s="203"/>
      <c r="I6" s="203"/>
      <c r="J6" s="205"/>
      <c r="K6" s="203"/>
      <c r="AB6" s="265" t="s">
        <v>273</v>
      </c>
      <c r="AC6" s="265"/>
      <c r="AD6" s="265" t="s">
        <v>273</v>
      </c>
      <c r="AE6" s="6"/>
      <c r="AG6" s="265" t="s">
        <v>274</v>
      </c>
      <c r="AH6" s="265">
        <v>1</v>
      </c>
    </row>
    <row r="7" spans="2:34" ht="15.75" thickBot="1" x14ac:dyDescent="0.3">
      <c r="C7" s="206" t="s">
        <v>275</v>
      </c>
      <c r="D7" s="207" t="s">
        <v>276</v>
      </c>
      <c r="E7" s="208" t="s">
        <v>277</v>
      </c>
      <c r="F7" s="208" t="s">
        <v>278</v>
      </c>
      <c r="G7" s="209" t="s">
        <v>279</v>
      </c>
      <c r="H7" s="209" t="s">
        <v>280</v>
      </c>
      <c r="I7" s="209" t="s">
        <v>281</v>
      </c>
      <c r="J7" s="209" t="s">
        <v>282</v>
      </c>
      <c r="K7" s="209" t="s">
        <v>283</v>
      </c>
      <c r="N7" s="210"/>
      <c r="AB7" s="265" t="s">
        <v>284</v>
      </c>
      <c r="AC7" s="265"/>
      <c r="AD7" s="265" t="s">
        <v>284</v>
      </c>
      <c r="AE7" s="6"/>
      <c r="AG7" s="265" t="s">
        <v>285</v>
      </c>
      <c r="AH7" s="265">
        <v>3</v>
      </c>
    </row>
    <row r="8" spans="2:34" ht="15.75" thickBot="1" x14ac:dyDescent="0.3">
      <c r="B8" t="s">
        <v>97</v>
      </c>
      <c r="C8" s="211" t="s">
        <v>286</v>
      </c>
      <c r="D8" s="212">
        <v>38947</v>
      </c>
      <c r="E8" s="213" t="s">
        <v>287</v>
      </c>
      <c r="F8" s="213" t="s">
        <v>288</v>
      </c>
      <c r="G8" s="213">
        <v>1884588</v>
      </c>
      <c r="H8" s="213" t="s">
        <v>289</v>
      </c>
      <c r="I8" s="214">
        <v>42941</v>
      </c>
      <c r="J8" s="213">
        <v>307</v>
      </c>
      <c r="K8" s="213"/>
      <c r="N8" s="215" t="s">
        <v>290</v>
      </c>
      <c r="O8" s="216" t="s">
        <v>291</v>
      </c>
      <c r="P8" s="217" t="s">
        <v>292</v>
      </c>
      <c r="Q8" s="218" t="s">
        <v>293</v>
      </c>
      <c r="R8" s="218" t="s">
        <v>294</v>
      </c>
      <c r="AB8" s="265" t="s">
        <v>295</v>
      </c>
      <c r="AC8" s="265"/>
      <c r="AD8" s="265" t="s">
        <v>295</v>
      </c>
      <c r="AE8" s="6"/>
      <c r="AG8" s="265" t="s">
        <v>296</v>
      </c>
      <c r="AH8" s="265">
        <v>5</v>
      </c>
    </row>
    <row r="9" spans="2:34" ht="15.75" thickBot="1" x14ac:dyDescent="0.3">
      <c r="B9" t="s">
        <v>97</v>
      </c>
      <c r="C9" s="211" t="s">
        <v>286</v>
      </c>
      <c r="D9" s="212">
        <v>38947</v>
      </c>
      <c r="E9" s="213" t="s">
        <v>287</v>
      </c>
      <c r="F9" s="213" t="s">
        <v>297</v>
      </c>
      <c r="G9" s="213">
        <v>1884590</v>
      </c>
      <c r="H9" s="213" t="s">
        <v>289</v>
      </c>
      <c r="I9" s="214">
        <v>42941</v>
      </c>
      <c r="J9" s="213">
        <v>78</v>
      </c>
      <c r="K9" s="213"/>
      <c r="N9" s="219" t="s">
        <v>298</v>
      </c>
      <c r="O9" s="220">
        <v>34522</v>
      </c>
      <c r="P9" s="221">
        <v>2.2000000000000002</v>
      </c>
      <c r="Q9" s="222">
        <v>4</v>
      </c>
      <c r="R9" s="380">
        <v>9</v>
      </c>
      <c r="AB9" s="265" t="s">
        <v>299</v>
      </c>
      <c r="AC9" s="265"/>
      <c r="AD9" s="265" t="s">
        <v>299</v>
      </c>
      <c r="AE9" s="6"/>
      <c r="AG9" s="265" t="s">
        <v>300</v>
      </c>
      <c r="AH9" s="265">
        <v>7</v>
      </c>
    </row>
    <row r="10" spans="2:34" ht="15.75" thickBot="1" x14ac:dyDescent="0.3">
      <c r="B10" t="s">
        <v>97</v>
      </c>
      <c r="C10" s="211" t="s">
        <v>286</v>
      </c>
      <c r="D10" s="212">
        <v>38947</v>
      </c>
      <c r="E10" s="213" t="s">
        <v>287</v>
      </c>
      <c r="F10" s="213" t="s">
        <v>301</v>
      </c>
      <c r="G10" s="213">
        <v>1884633</v>
      </c>
      <c r="H10" s="213" t="s">
        <v>289</v>
      </c>
      <c r="I10" s="214">
        <v>42944</v>
      </c>
      <c r="J10" s="223">
        <v>1981</v>
      </c>
      <c r="K10" s="213"/>
      <c r="N10" s="219" t="s">
        <v>302</v>
      </c>
      <c r="O10" s="220">
        <v>75759</v>
      </c>
      <c r="P10" s="221">
        <v>4.7</v>
      </c>
      <c r="Q10" s="224">
        <v>9</v>
      </c>
      <c r="R10" s="381"/>
      <c r="AB10" s="265" t="s">
        <v>303</v>
      </c>
      <c r="AC10" s="265"/>
      <c r="AD10" s="265" t="s">
        <v>303</v>
      </c>
      <c r="AE10" s="6"/>
      <c r="AG10" s="265" t="s">
        <v>304</v>
      </c>
      <c r="AH10" s="265">
        <v>9</v>
      </c>
    </row>
    <row r="11" spans="2:34" ht="15.75" thickBot="1" x14ac:dyDescent="0.3">
      <c r="B11" t="s">
        <v>97</v>
      </c>
      <c r="C11" s="211" t="s">
        <v>286</v>
      </c>
      <c r="D11" s="212">
        <v>38947</v>
      </c>
      <c r="E11" s="213" t="s">
        <v>287</v>
      </c>
      <c r="F11" s="213" t="s">
        <v>305</v>
      </c>
      <c r="G11" s="213">
        <v>1884637</v>
      </c>
      <c r="H11" s="213" t="s">
        <v>289</v>
      </c>
      <c r="I11" s="214">
        <v>42944</v>
      </c>
      <c r="J11" s="213">
        <v>459</v>
      </c>
      <c r="K11" s="213"/>
      <c r="N11" s="219" t="s">
        <v>306</v>
      </c>
      <c r="O11" s="220">
        <v>37050</v>
      </c>
      <c r="P11" s="221">
        <v>2.2999999999999998</v>
      </c>
      <c r="Q11" s="224">
        <v>5</v>
      </c>
      <c r="R11" s="381"/>
      <c r="AB11" s="265" t="s">
        <v>307</v>
      </c>
      <c r="AC11" s="6"/>
      <c r="AD11" s="265" t="s">
        <v>307</v>
      </c>
      <c r="AE11" s="6"/>
    </row>
    <row r="12" spans="2:34" ht="15.75" thickBot="1" x14ac:dyDescent="0.3">
      <c r="B12" t="s">
        <v>97</v>
      </c>
      <c r="C12" s="211" t="s">
        <v>286</v>
      </c>
      <c r="D12" s="212">
        <v>38949</v>
      </c>
      <c r="E12" s="213" t="s">
        <v>308</v>
      </c>
      <c r="F12" s="213" t="s">
        <v>309</v>
      </c>
      <c r="G12" s="213">
        <v>1883974</v>
      </c>
      <c r="H12" s="213" t="s">
        <v>289</v>
      </c>
      <c r="I12" s="214">
        <v>42950</v>
      </c>
      <c r="J12" s="213">
        <v>741</v>
      </c>
      <c r="K12" s="213"/>
      <c r="N12" s="225"/>
      <c r="O12" s="225"/>
      <c r="P12" s="226"/>
      <c r="Q12" s="227"/>
      <c r="R12" s="382"/>
    </row>
    <row r="13" spans="2:34" ht="15.75" thickBot="1" x14ac:dyDescent="0.3">
      <c r="B13" t="s">
        <v>97</v>
      </c>
      <c r="C13" s="211" t="s">
        <v>286</v>
      </c>
      <c r="D13" s="212">
        <v>38949</v>
      </c>
      <c r="E13" s="213" t="s">
        <v>308</v>
      </c>
      <c r="F13" s="213" t="s">
        <v>310</v>
      </c>
      <c r="G13" s="213">
        <v>1884015</v>
      </c>
      <c r="H13" s="213" t="s">
        <v>289</v>
      </c>
      <c r="I13" s="214">
        <v>42950</v>
      </c>
      <c r="J13" s="213">
        <v>171</v>
      </c>
      <c r="K13" s="213"/>
      <c r="N13" s="205"/>
      <c r="O13" s="205"/>
      <c r="P13" s="205"/>
      <c r="Q13" s="205"/>
      <c r="R13" s="228"/>
      <c r="S13" s="229">
        <f>O14/16000</f>
        <v>9.2081874999999993</v>
      </c>
      <c r="T13">
        <v>16000</v>
      </c>
      <c r="AB13" s="199" t="s">
        <v>311</v>
      </c>
      <c r="AC13" s="199" t="s">
        <v>270</v>
      </c>
    </row>
    <row r="14" spans="2:34" ht="15.75" thickBot="1" x14ac:dyDescent="0.3">
      <c r="B14" t="s">
        <v>97</v>
      </c>
      <c r="C14" s="211" t="s">
        <v>286</v>
      </c>
      <c r="D14" s="212">
        <v>38949</v>
      </c>
      <c r="E14" s="213" t="s">
        <v>308</v>
      </c>
      <c r="F14" s="213" t="s">
        <v>312</v>
      </c>
      <c r="G14" s="213">
        <v>1884083</v>
      </c>
      <c r="H14" s="213" t="s">
        <v>289</v>
      </c>
      <c r="I14" s="214">
        <v>42951</v>
      </c>
      <c r="J14" s="213">
        <v>525</v>
      </c>
      <c r="K14" s="213"/>
      <c r="O14" s="246">
        <f>SUBTOTAL(9,O9:O11)</f>
        <v>147331</v>
      </c>
      <c r="S14" s="230">
        <f>O14/13714</f>
        <v>10.743109231442322</v>
      </c>
      <c r="T14">
        <v>14400</v>
      </c>
      <c r="AB14" s="265" t="s">
        <v>313</v>
      </c>
      <c r="AC14" s="265">
        <v>2</v>
      </c>
    </row>
    <row r="15" spans="2:34" ht="15.75" customHeight="1" thickBot="1" x14ac:dyDescent="0.3">
      <c r="B15" t="s">
        <v>97</v>
      </c>
      <c r="C15" s="211" t="s">
        <v>286</v>
      </c>
      <c r="D15" s="212">
        <v>38949</v>
      </c>
      <c r="E15" s="213" t="s">
        <v>308</v>
      </c>
      <c r="F15" s="213" t="s">
        <v>314</v>
      </c>
      <c r="G15" s="213">
        <v>1884094</v>
      </c>
      <c r="H15" s="213" t="s">
        <v>289</v>
      </c>
      <c r="I15" s="214">
        <v>42951</v>
      </c>
      <c r="J15" s="213">
        <v>123</v>
      </c>
      <c r="K15" s="213"/>
      <c r="S15" s="229">
        <f>O14/8000</f>
        <v>18.416374999999999</v>
      </c>
      <c r="T15">
        <v>8000</v>
      </c>
      <c r="AB15" s="265" t="s">
        <v>315</v>
      </c>
      <c r="AC15" s="265">
        <v>4</v>
      </c>
    </row>
    <row r="16" spans="2:34" ht="15.75" customHeight="1" thickBot="1" x14ac:dyDescent="0.3">
      <c r="B16" t="s">
        <v>97</v>
      </c>
      <c r="C16" s="211" t="s">
        <v>286</v>
      </c>
      <c r="D16" s="212">
        <v>38949</v>
      </c>
      <c r="E16" s="213" t="s">
        <v>308</v>
      </c>
      <c r="F16" s="213" t="s">
        <v>301</v>
      </c>
      <c r="G16" s="213">
        <v>1884312</v>
      </c>
      <c r="H16" s="213" t="s">
        <v>289</v>
      </c>
      <c r="I16" s="214">
        <v>42951</v>
      </c>
      <c r="J16" s="213">
        <v>195</v>
      </c>
      <c r="K16" s="213"/>
      <c r="N16" s="215" t="s">
        <v>316</v>
      </c>
      <c r="O16" s="216" t="s">
        <v>93</v>
      </c>
      <c r="P16" s="218" t="s">
        <v>96</v>
      </c>
      <c r="Q16" s="218" t="s">
        <v>317</v>
      </c>
      <c r="R16" s="218" t="s">
        <v>294</v>
      </c>
      <c r="AB16" s="265" t="s">
        <v>318</v>
      </c>
      <c r="AC16" s="265">
        <v>6</v>
      </c>
    </row>
    <row r="17" spans="2:29" ht="15.75" customHeight="1" thickBot="1" x14ac:dyDescent="0.3">
      <c r="B17" t="s">
        <v>97</v>
      </c>
      <c r="C17" s="211" t="s">
        <v>286</v>
      </c>
      <c r="D17" s="212">
        <v>38949</v>
      </c>
      <c r="E17" s="213" t="s">
        <v>308</v>
      </c>
      <c r="F17" s="213" t="s">
        <v>305</v>
      </c>
      <c r="G17" s="213">
        <v>1884326</v>
      </c>
      <c r="H17" s="213" t="s">
        <v>289</v>
      </c>
      <c r="I17" s="214">
        <v>42951</v>
      </c>
      <c r="J17" s="213">
        <v>45</v>
      </c>
      <c r="K17" s="213"/>
      <c r="N17" s="219" t="s">
        <v>319</v>
      </c>
      <c r="O17" s="220">
        <v>50438</v>
      </c>
      <c r="P17" s="222">
        <v>3.2</v>
      </c>
      <c r="Q17" s="231">
        <v>6</v>
      </c>
      <c r="R17" s="268">
        <v>7</v>
      </c>
      <c r="AB17" s="265" t="s">
        <v>320</v>
      </c>
      <c r="AC17" s="265">
        <v>8</v>
      </c>
    </row>
    <row r="18" spans="2:29" ht="15.75" customHeight="1" thickBot="1" x14ac:dyDescent="0.3">
      <c r="B18" t="s">
        <v>97</v>
      </c>
      <c r="C18" s="211" t="s">
        <v>286</v>
      </c>
      <c r="D18" s="212">
        <v>38949</v>
      </c>
      <c r="E18" s="213" t="s">
        <v>308</v>
      </c>
      <c r="F18" s="213" t="s">
        <v>321</v>
      </c>
      <c r="G18" s="213">
        <v>1884343</v>
      </c>
      <c r="H18" s="213" t="s">
        <v>289</v>
      </c>
      <c r="I18" s="214">
        <v>42954</v>
      </c>
      <c r="J18" s="213">
        <v>161</v>
      </c>
      <c r="K18" s="213"/>
      <c r="N18" s="219" t="s">
        <v>322</v>
      </c>
      <c r="O18" s="220">
        <v>58555</v>
      </c>
      <c r="P18" s="224">
        <v>3.7</v>
      </c>
      <c r="Q18" s="232">
        <v>7</v>
      </c>
      <c r="R18" s="269"/>
    </row>
    <row r="19" spans="2:29" ht="21" thickBot="1" x14ac:dyDescent="0.3">
      <c r="B19" t="s">
        <v>97</v>
      </c>
      <c r="C19" s="211" t="s">
        <v>286</v>
      </c>
      <c r="D19" s="212">
        <v>38949</v>
      </c>
      <c r="E19" s="213" t="s">
        <v>308</v>
      </c>
      <c r="F19" s="213" t="s">
        <v>323</v>
      </c>
      <c r="G19" s="213">
        <v>1884355</v>
      </c>
      <c r="H19" s="213" t="s">
        <v>289</v>
      </c>
      <c r="I19" s="214">
        <v>42954</v>
      </c>
      <c r="J19" s="213">
        <v>39</v>
      </c>
      <c r="K19" s="213"/>
      <c r="N19" s="219" t="s">
        <v>324</v>
      </c>
      <c r="O19" s="220">
        <v>8117</v>
      </c>
      <c r="P19" s="224">
        <v>0.5</v>
      </c>
      <c r="Q19" s="232">
        <v>1</v>
      </c>
      <c r="R19" s="269"/>
    </row>
    <row r="20" spans="2:29" ht="21" thickBot="1" x14ac:dyDescent="0.3">
      <c r="B20" t="s">
        <v>97</v>
      </c>
      <c r="C20" s="211" t="s">
        <v>286</v>
      </c>
      <c r="D20" s="212">
        <v>38949</v>
      </c>
      <c r="E20" s="213" t="s">
        <v>308</v>
      </c>
      <c r="F20" s="213" t="s">
        <v>325</v>
      </c>
      <c r="G20" s="213">
        <v>1884372</v>
      </c>
      <c r="H20" s="213" t="s">
        <v>289</v>
      </c>
      <c r="I20" s="214">
        <v>42956</v>
      </c>
      <c r="J20" s="223">
        <v>1574</v>
      </c>
      <c r="K20" s="213"/>
      <c r="N20" s="225"/>
      <c r="O20" s="225"/>
      <c r="P20" s="227"/>
      <c r="Q20" s="233"/>
      <c r="R20" s="270"/>
    </row>
    <row r="21" spans="2:29" ht="15.75" customHeight="1" thickBot="1" x14ac:dyDescent="0.3">
      <c r="B21" t="s">
        <v>97</v>
      </c>
      <c r="C21" s="211" t="s">
        <v>286</v>
      </c>
      <c r="D21" s="212">
        <v>38949</v>
      </c>
      <c r="E21" s="213" t="s">
        <v>308</v>
      </c>
      <c r="F21" s="213" t="s">
        <v>326</v>
      </c>
      <c r="G21" s="213">
        <v>1884439</v>
      </c>
      <c r="H21" s="213" t="s">
        <v>289</v>
      </c>
      <c r="I21" s="214">
        <v>42956</v>
      </c>
      <c r="J21" s="213">
        <v>316</v>
      </c>
      <c r="K21" s="213"/>
      <c r="S21" s="230">
        <f>O22/13714</f>
        <v>8.5394487385153859</v>
      </c>
      <c r="T21">
        <v>14400</v>
      </c>
    </row>
    <row r="22" spans="2:29" ht="15.75" customHeight="1" thickBot="1" x14ac:dyDescent="0.3">
      <c r="B22" t="s">
        <v>98</v>
      </c>
      <c r="C22" s="211" t="s">
        <v>286</v>
      </c>
      <c r="D22" s="212">
        <v>38910</v>
      </c>
      <c r="E22" s="213" t="s">
        <v>327</v>
      </c>
      <c r="F22" s="213" t="s">
        <v>328</v>
      </c>
      <c r="G22" s="213">
        <v>1882115</v>
      </c>
      <c r="H22" s="213" t="s">
        <v>289</v>
      </c>
      <c r="I22" s="214">
        <v>42930</v>
      </c>
      <c r="J22" s="223">
        <v>1700</v>
      </c>
      <c r="K22" s="223">
        <v>1200</v>
      </c>
      <c r="O22" s="246">
        <f>SUBTOTAL(9,O17:O19)</f>
        <v>117110</v>
      </c>
      <c r="S22" s="229">
        <f>O22/16000</f>
        <v>7.319375</v>
      </c>
    </row>
    <row r="23" spans="2:29" ht="15.75" customHeight="1" thickBot="1" x14ac:dyDescent="0.3">
      <c r="B23" t="s">
        <v>98</v>
      </c>
      <c r="C23" s="211" t="s">
        <v>286</v>
      </c>
      <c r="D23" s="212">
        <v>38910</v>
      </c>
      <c r="E23" s="213" t="s">
        <v>327</v>
      </c>
      <c r="F23" s="213" t="s">
        <v>329</v>
      </c>
      <c r="G23" s="213">
        <v>1882242</v>
      </c>
      <c r="H23" s="213" t="s">
        <v>289</v>
      </c>
      <c r="I23" s="214">
        <v>42933</v>
      </c>
      <c r="J23" s="213">
        <v>225</v>
      </c>
      <c r="K23" s="213"/>
    </row>
    <row r="24" spans="2:29" ht="15.75" customHeight="1" thickBot="1" x14ac:dyDescent="0.3">
      <c r="B24" t="s">
        <v>98</v>
      </c>
      <c r="C24" s="211" t="s">
        <v>286</v>
      </c>
      <c r="D24" s="212">
        <v>38913</v>
      </c>
      <c r="E24" s="213" t="s">
        <v>330</v>
      </c>
      <c r="F24" s="213" t="s">
        <v>328</v>
      </c>
      <c r="G24" s="213">
        <v>1882172</v>
      </c>
      <c r="H24" s="213" t="s">
        <v>289</v>
      </c>
      <c r="I24" s="214">
        <v>42935</v>
      </c>
      <c r="J24" s="213">
        <v>808</v>
      </c>
      <c r="K24" s="213"/>
      <c r="N24" s="234" t="s">
        <v>331</v>
      </c>
      <c r="O24" s="217" t="s">
        <v>93</v>
      </c>
      <c r="P24" s="217" t="s">
        <v>96</v>
      </c>
      <c r="Q24" s="218" t="s">
        <v>317</v>
      </c>
      <c r="R24" s="218" t="s">
        <v>294</v>
      </c>
    </row>
    <row r="25" spans="2:29" ht="21" thickBot="1" x14ac:dyDescent="0.3">
      <c r="B25" t="s">
        <v>98</v>
      </c>
      <c r="C25" s="211" t="s">
        <v>286</v>
      </c>
      <c r="D25" s="212">
        <v>38947</v>
      </c>
      <c r="E25" s="213" t="s">
        <v>287</v>
      </c>
      <c r="F25" s="213" t="s">
        <v>332</v>
      </c>
      <c r="G25" s="213">
        <v>1884548</v>
      </c>
      <c r="H25" s="213" t="s">
        <v>289</v>
      </c>
      <c r="I25" s="214">
        <v>42947</v>
      </c>
      <c r="J25" s="213">
        <v>32</v>
      </c>
      <c r="K25" s="213"/>
      <c r="N25" s="235" t="s">
        <v>333</v>
      </c>
      <c r="O25" s="232">
        <v>295</v>
      </c>
      <c r="P25" s="232">
        <v>0</v>
      </c>
      <c r="Q25" s="231">
        <v>0</v>
      </c>
      <c r="R25" s="268">
        <v>5</v>
      </c>
    </row>
    <row r="26" spans="2:29" ht="21" thickBot="1" x14ac:dyDescent="0.3">
      <c r="B26" t="s">
        <v>98</v>
      </c>
      <c r="C26" s="211" t="s">
        <v>286</v>
      </c>
      <c r="D26" s="212">
        <v>38947</v>
      </c>
      <c r="E26" s="213" t="s">
        <v>287</v>
      </c>
      <c r="F26" s="213" t="s">
        <v>334</v>
      </c>
      <c r="G26" s="213">
        <v>1884549</v>
      </c>
      <c r="H26" s="213" t="s">
        <v>289</v>
      </c>
      <c r="I26" s="214">
        <v>42947</v>
      </c>
      <c r="J26" s="213">
        <v>16</v>
      </c>
      <c r="K26" s="213"/>
      <c r="N26" s="235" t="s">
        <v>335</v>
      </c>
      <c r="O26" s="236">
        <v>1791</v>
      </c>
      <c r="P26" s="232">
        <v>0.1</v>
      </c>
      <c r="Q26" s="232">
        <v>0</v>
      </c>
      <c r="R26" s="269"/>
    </row>
    <row r="27" spans="2:29" ht="21" thickBot="1" x14ac:dyDescent="0.3">
      <c r="B27" t="s">
        <v>98</v>
      </c>
      <c r="C27" s="211" t="s">
        <v>286</v>
      </c>
      <c r="D27" s="212">
        <v>38947</v>
      </c>
      <c r="E27" s="213" t="s">
        <v>287</v>
      </c>
      <c r="F27" s="213" t="s">
        <v>336</v>
      </c>
      <c r="G27" s="213">
        <v>1884560</v>
      </c>
      <c r="H27" s="213" t="s">
        <v>289</v>
      </c>
      <c r="I27" s="214">
        <v>42947</v>
      </c>
      <c r="J27" s="213">
        <v>57</v>
      </c>
      <c r="K27" s="213"/>
      <c r="N27" s="235" t="s">
        <v>337</v>
      </c>
      <c r="O27" s="236">
        <v>35280</v>
      </c>
      <c r="P27" s="232">
        <v>2.2000000000000002</v>
      </c>
      <c r="Q27" s="232">
        <v>4</v>
      </c>
      <c r="R27" s="269"/>
    </row>
    <row r="28" spans="2:29" ht="21" thickBot="1" x14ac:dyDescent="0.3">
      <c r="B28" t="s">
        <v>98</v>
      </c>
      <c r="C28" s="211" t="s">
        <v>286</v>
      </c>
      <c r="D28" s="212">
        <v>38947</v>
      </c>
      <c r="E28" s="213" t="s">
        <v>287</v>
      </c>
      <c r="F28" s="213" t="s">
        <v>338</v>
      </c>
      <c r="G28" s="213">
        <v>1884561</v>
      </c>
      <c r="H28" s="213" t="s">
        <v>289</v>
      </c>
      <c r="I28" s="214">
        <v>42947</v>
      </c>
      <c r="J28" s="213">
        <v>228</v>
      </c>
      <c r="K28" s="213"/>
      <c r="N28" s="237" t="s">
        <v>339</v>
      </c>
      <c r="O28" s="238">
        <v>37213</v>
      </c>
      <c r="P28" s="233">
        <v>2.2999999999999998</v>
      </c>
      <c r="Q28" s="233">
        <v>5</v>
      </c>
      <c r="R28" s="270"/>
    </row>
    <row r="29" spans="2:29" ht="15.75" thickBot="1" x14ac:dyDescent="0.3">
      <c r="B29" t="s">
        <v>98</v>
      </c>
      <c r="C29" s="211" t="s">
        <v>286</v>
      </c>
      <c r="D29" s="212">
        <v>38943</v>
      </c>
      <c r="E29" s="213" t="s">
        <v>340</v>
      </c>
      <c r="F29" s="213" t="s">
        <v>328</v>
      </c>
      <c r="G29" s="213">
        <v>1883969</v>
      </c>
      <c r="H29" s="213" t="s">
        <v>289</v>
      </c>
      <c r="I29" s="214">
        <v>42948</v>
      </c>
      <c r="J29" s="213">
        <v>312</v>
      </c>
      <c r="K29" s="213"/>
      <c r="N29" s="205"/>
      <c r="O29" s="205"/>
      <c r="P29" s="205"/>
      <c r="Q29" s="205"/>
      <c r="R29" s="205"/>
    </row>
    <row r="30" spans="2:29" ht="15.75" thickBot="1" x14ac:dyDescent="0.3">
      <c r="B30" t="s">
        <v>98</v>
      </c>
      <c r="C30" s="211" t="s">
        <v>286</v>
      </c>
      <c r="D30" s="212">
        <v>38942</v>
      </c>
      <c r="E30" s="213" t="s">
        <v>340</v>
      </c>
      <c r="F30" s="213" t="s">
        <v>328</v>
      </c>
      <c r="G30" s="213">
        <v>1883963</v>
      </c>
      <c r="H30" s="213" t="s">
        <v>289</v>
      </c>
      <c r="I30" s="214">
        <v>42956</v>
      </c>
      <c r="J30" s="213">
        <v>20</v>
      </c>
      <c r="K30" s="213"/>
      <c r="N30" s="205"/>
      <c r="O30" s="246">
        <f>SUBTOTAL(9,O25:O28)</f>
        <v>74579</v>
      </c>
      <c r="P30" s="247" t="s">
        <v>341</v>
      </c>
      <c r="Q30" s="247">
        <v>42</v>
      </c>
      <c r="R30" s="247">
        <v>21</v>
      </c>
      <c r="S30" s="230">
        <f>O30/16000</f>
        <v>4.6611874999999996</v>
      </c>
      <c r="T30">
        <v>14400</v>
      </c>
    </row>
    <row r="31" spans="2:29" ht="15.75" thickBot="1" x14ac:dyDescent="0.3">
      <c r="B31" t="s">
        <v>99</v>
      </c>
      <c r="C31" s="211" t="s">
        <v>286</v>
      </c>
      <c r="D31" s="212">
        <v>38910</v>
      </c>
      <c r="E31" s="213" t="s">
        <v>327</v>
      </c>
      <c r="F31" s="213" t="s">
        <v>342</v>
      </c>
      <c r="G31" s="213">
        <v>1882122</v>
      </c>
      <c r="H31" s="213" t="s">
        <v>289</v>
      </c>
      <c r="I31" s="214">
        <v>42934</v>
      </c>
      <c r="J31" s="213">
        <v>150</v>
      </c>
      <c r="K31" s="213"/>
    </row>
    <row r="32" spans="2:29" ht="15.75" thickBot="1" x14ac:dyDescent="0.3">
      <c r="B32" t="s">
        <v>99</v>
      </c>
      <c r="C32" s="211" t="s">
        <v>286</v>
      </c>
      <c r="D32" s="212">
        <v>38910</v>
      </c>
      <c r="E32" s="213" t="s">
        <v>327</v>
      </c>
      <c r="F32" s="213" t="s">
        <v>343</v>
      </c>
      <c r="G32" s="213">
        <v>1882143</v>
      </c>
      <c r="H32" s="213" t="s">
        <v>289</v>
      </c>
      <c r="I32" s="214">
        <v>42934</v>
      </c>
      <c r="J32" s="213">
        <v>10</v>
      </c>
      <c r="K32" s="213"/>
    </row>
    <row r="33" spans="2:15" ht="15.75" thickBot="1" x14ac:dyDescent="0.3">
      <c r="B33" t="s">
        <v>99</v>
      </c>
      <c r="C33" s="211" t="s">
        <v>286</v>
      </c>
      <c r="D33" s="212">
        <v>38913</v>
      </c>
      <c r="E33" s="213" t="s">
        <v>330</v>
      </c>
      <c r="F33" s="213" t="s">
        <v>342</v>
      </c>
      <c r="G33" s="213">
        <v>1882186</v>
      </c>
      <c r="H33" s="213" t="s">
        <v>289</v>
      </c>
      <c r="I33" s="214">
        <v>42937</v>
      </c>
      <c r="J33" s="213">
        <v>240</v>
      </c>
      <c r="K33" s="213"/>
      <c r="O33" s="239">
        <f>SUM(O30+O22+O14)</f>
        <v>339020</v>
      </c>
    </row>
    <row r="34" spans="2:15" ht="15.75" thickBot="1" x14ac:dyDescent="0.3">
      <c r="B34" t="s">
        <v>99</v>
      </c>
      <c r="C34" s="211" t="s">
        <v>286</v>
      </c>
      <c r="D34" s="212">
        <v>38913</v>
      </c>
      <c r="E34" s="213" t="s">
        <v>330</v>
      </c>
      <c r="F34" s="213" t="s">
        <v>343</v>
      </c>
      <c r="G34" s="213">
        <v>1882210</v>
      </c>
      <c r="H34" s="213" t="s">
        <v>289</v>
      </c>
      <c r="I34" s="214">
        <v>42937</v>
      </c>
      <c r="J34" s="213">
        <v>10</v>
      </c>
      <c r="K34" s="213"/>
    </row>
    <row r="35" spans="2:15" ht="15.75" thickBot="1" x14ac:dyDescent="0.3">
      <c r="B35" t="s">
        <v>99</v>
      </c>
      <c r="C35" s="211" t="s">
        <v>286</v>
      </c>
      <c r="D35" s="212">
        <v>38913</v>
      </c>
      <c r="E35" s="213" t="s">
        <v>330</v>
      </c>
      <c r="F35" s="213" t="s">
        <v>344</v>
      </c>
      <c r="G35" s="213">
        <v>1882260</v>
      </c>
      <c r="H35" s="213" t="s">
        <v>289</v>
      </c>
      <c r="I35" s="214">
        <v>42940</v>
      </c>
      <c r="J35" s="213">
        <v>450</v>
      </c>
      <c r="K35" s="213">
        <v>15</v>
      </c>
    </row>
    <row r="36" spans="2:15" ht="15.75" thickBot="1" x14ac:dyDescent="0.3">
      <c r="C36" s="240"/>
      <c r="D36" s="241"/>
      <c r="E36" s="242"/>
      <c r="F36" s="242"/>
      <c r="G36" s="242"/>
      <c r="H36" s="242"/>
      <c r="I36" s="242"/>
      <c r="J36" s="243">
        <f>SUBTOTAL(9,J8:J35)</f>
        <v>10973</v>
      </c>
      <c r="K36" s="243">
        <v>1215</v>
      </c>
    </row>
    <row r="37" spans="2:15" x14ac:dyDescent="0.25">
      <c r="C37" s="201"/>
    </row>
    <row r="42" spans="2:15" x14ac:dyDescent="0.25">
      <c r="F42" t="s">
        <v>345</v>
      </c>
      <c r="G42" t="s">
        <v>346</v>
      </c>
    </row>
    <row r="43" spans="2:15" x14ac:dyDescent="0.25">
      <c r="F43" t="s">
        <v>347</v>
      </c>
      <c r="G43">
        <v>5</v>
      </c>
    </row>
    <row r="44" spans="2:15" x14ac:dyDescent="0.25">
      <c r="F44" t="s">
        <v>348</v>
      </c>
      <c r="G44">
        <v>9</v>
      </c>
    </row>
    <row r="45" spans="2:15" x14ac:dyDescent="0.25">
      <c r="F45" t="s">
        <v>349</v>
      </c>
      <c r="G45">
        <v>7</v>
      </c>
    </row>
    <row r="46" spans="2:15" x14ac:dyDescent="0.25">
      <c r="F46" t="s">
        <v>350</v>
      </c>
      <c r="G46">
        <v>7</v>
      </c>
    </row>
    <row r="47" spans="2:15" x14ac:dyDescent="0.25">
      <c r="F47" t="s">
        <v>351</v>
      </c>
      <c r="G47">
        <v>3</v>
      </c>
    </row>
    <row r="48" spans="2:15" x14ac:dyDescent="0.25">
      <c r="F48" t="s">
        <v>352</v>
      </c>
      <c r="G48">
        <v>5</v>
      </c>
    </row>
    <row r="62" spans="6:7" x14ac:dyDescent="0.25">
      <c r="F62" t="s">
        <v>345</v>
      </c>
      <c r="G62" t="s">
        <v>346</v>
      </c>
    </row>
    <row r="63" spans="6:7" x14ac:dyDescent="0.25">
      <c r="F63" t="s">
        <v>353</v>
      </c>
      <c r="G63">
        <v>5</v>
      </c>
    </row>
    <row r="64" spans="6:7" x14ac:dyDescent="0.25">
      <c r="F64" t="s">
        <v>354</v>
      </c>
      <c r="G64">
        <v>10</v>
      </c>
    </row>
    <row r="65" spans="6:14" x14ac:dyDescent="0.25">
      <c r="F65" t="s">
        <v>355</v>
      </c>
      <c r="G65">
        <v>7</v>
      </c>
      <c r="K65" s="265" t="s">
        <v>356</v>
      </c>
      <c r="L65" s="265" t="s">
        <v>357</v>
      </c>
      <c r="M65" s="265" t="s">
        <v>358</v>
      </c>
      <c r="N65" s="265" t="s">
        <v>359</v>
      </c>
    </row>
    <row r="66" spans="6:14" x14ac:dyDescent="0.25">
      <c r="F66" t="s">
        <v>360</v>
      </c>
      <c r="G66">
        <v>14</v>
      </c>
      <c r="K66" s="265">
        <v>339020</v>
      </c>
      <c r="L66" s="265">
        <v>16</v>
      </c>
      <c r="M66" s="265">
        <v>8000</v>
      </c>
      <c r="N66" s="111">
        <f>K66/M66</f>
        <v>42.377499999999998</v>
      </c>
    </row>
    <row r="67" spans="6:14" x14ac:dyDescent="0.25">
      <c r="F67" t="s">
        <v>361</v>
      </c>
      <c r="G67">
        <v>3</v>
      </c>
    </row>
    <row r="68" spans="6:14" x14ac:dyDescent="0.25">
      <c r="F68" t="s">
        <v>362</v>
      </c>
      <c r="G68">
        <v>9</v>
      </c>
      <c r="K68" s="229">
        <f>N66-L66</f>
        <v>26.377499999999998</v>
      </c>
    </row>
    <row r="69" spans="6:14" x14ac:dyDescent="0.25">
      <c r="K69" s="35">
        <f>(K68/L66)-1</f>
        <v>0.64859374999999986</v>
      </c>
    </row>
  </sheetData>
  <sheetProtection algorithmName="SHA-512" hashValue="7uYaPl8sfvBb0FRyu56Q+bPI8cqZ+uxd9HIUoLvNWWf7QtlAfjS1SiQuFu7SpKs5rhUt+YYrSzdIt8SZMM1+MQ==" saltValue="eICtqFI07fSSTn5GJBlR7w==" spinCount="100000" sheet="1" objects="1" scenarios="1"/>
  <mergeCells count="1">
    <mergeCell ref="R9:R12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rgb="FFC00000"/>
  </sheetPr>
  <dimension ref="A3:Q34"/>
  <sheetViews>
    <sheetView showGridLines="0" showRowColHeaders="0" zoomScale="80" zoomScaleNormal="80" workbookViewId="0">
      <selection activeCell="D5" sqref="D5"/>
    </sheetView>
  </sheetViews>
  <sheetFormatPr defaultColWidth="8.85546875" defaultRowHeight="15" x14ac:dyDescent="0.25"/>
  <cols>
    <col min="1" max="1" width="38.7109375" style="277" bestFit="1" customWidth="1"/>
    <col min="2" max="2" width="1.7109375" style="304" customWidth="1"/>
    <col min="3" max="3" width="38.7109375" style="277" bestFit="1" customWidth="1"/>
    <col min="4" max="4" width="2.28515625" style="277" customWidth="1"/>
    <col min="5" max="5" width="21.7109375" style="277" customWidth="1"/>
    <col min="6" max="6" width="21.7109375" style="279" customWidth="1"/>
    <col min="7" max="7" width="1.7109375" style="308" customWidth="1"/>
    <col min="8" max="9" width="15.7109375" style="279" customWidth="1"/>
    <col min="10" max="10" width="5.28515625" style="279" customWidth="1"/>
    <col min="11" max="11" width="1.7109375" style="279" customWidth="1"/>
    <col min="12" max="12" width="8.85546875" style="279"/>
    <col min="13" max="13" width="26.140625" style="279" customWidth="1"/>
    <col min="14" max="14" width="1.7109375" style="279" customWidth="1"/>
    <col min="15" max="15" width="26.140625" style="279" customWidth="1"/>
    <col min="16" max="16" width="7.5703125" style="279" customWidth="1"/>
    <col min="17" max="17" width="8.85546875" style="279"/>
    <col min="18" max="16384" width="8.85546875" style="277"/>
  </cols>
  <sheetData>
    <row r="3" spans="1:15" s="279" customFormat="1" x14ac:dyDescent="0.25">
      <c r="A3" s="306" t="s">
        <v>397</v>
      </c>
      <c r="B3" s="307"/>
      <c r="C3" s="306" t="s">
        <v>398</v>
      </c>
      <c r="G3" s="308"/>
    </row>
    <row r="4" spans="1:15" ht="30" customHeight="1" x14ac:dyDescent="0.25">
      <c r="A4" s="351">
        <v>4.8</v>
      </c>
      <c r="B4" s="305"/>
      <c r="C4" s="351">
        <v>7.8</v>
      </c>
    </row>
    <row r="5" spans="1:15" ht="5.0999999999999996" customHeight="1" x14ac:dyDescent="0.25"/>
    <row r="6" spans="1:15" s="279" customFormat="1" x14ac:dyDescent="0.25">
      <c r="A6" s="306" t="s">
        <v>399</v>
      </c>
      <c r="B6" s="307"/>
      <c r="C6" s="306" t="s">
        <v>400</v>
      </c>
      <c r="G6" s="308"/>
    </row>
    <row r="7" spans="1:15" s="279" customFormat="1" ht="32.25" x14ac:dyDescent="0.25">
      <c r="A7" s="309">
        <f>BD!F3</f>
        <v>17388.679245283016</v>
      </c>
      <c r="B7" s="309"/>
      <c r="C7" s="309">
        <f>BD!G3</f>
        <v>28256.603773584906</v>
      </c>
      <c r="G7" s="308"/>
    </row>
    <row r="8" spans="1:15" s="279" customFormat="1" x14ac:dyDescent="0.25">
      <c r="A8" s="310"/>
      <c r="B8" s="311"/>
      <c r="C8" s="310"/>
      <c r="G8" s="308"/>
    </row>
    <row r="9" spans="1:15" s="279" customFormat="1" x14ac:dyDescent="0.25">
      <c r="A9" s="310"/>
      <c r="B9" s="311"/>
      <c r="C9" s="310"/>
      <c r="G9" s="308"/>
    </row>
    <row r="10" spans="1:15" s="279" customFormat="1" x14ac:dyDescent="0.25">
      <c r="A10" s="306" t="s">
        <v>401</v>
      </c>
      <c r="B10" s="307"/>
      <c r="C10" s="306" t="s">
        <v>401</v>
      </c>
      <c r="G10" s="308"/>
    </row>
    <row r="11" spans="1:15" s="279" customFormat="1" ht="32.25" x14ac:dyDescent="0.25">
      <c r="A11" s="312">
        <f>A7-BD!C3</f>
        <v>3674.3935309973022</v>
      </c>
      <c r="B11" s="312"/>
      <c r="C11" s="312">
        <f>C7-BD!C3</f>
        <v>14542.318059299192</v>
      </c>
      <c r="G11" s="308"/>
    </row>
    <row r="12" spans="1:15" s="279" customFormat="1" ht="32.25" x14ac:dyDescent="0.25">
      <c r="A12" s="312">
        <f>A7-'DADOS DE PRODUÇÃO'!C31</f>
        <v>8247.7268643306343</v>
      </c>
      <c r="B12" s="312"/>
      <c r="C12" s="312">
        <f>C7-'DADOS DE PRODUÇÃO'!C31</f>
        <v>19115.651392632524</v>
      </c>
      <c r="E12" s="313" t="s">
        <v>416</v>
      </c>
      <c r="F12" s="313" t="s">
        <v>416</v>
      </c>
      <c r="G12" s="314"/>
      <c r="H12" s="313" t="s">
        <v>404</v>
      </c>
      <c r="I12" s="313" t="s">
        <v>395</v>
      </c>
    </row>
    <row r="13" spans="1:15" s="279" customFormat="1" ht="30" customHeight="1" x14ac:dyDescent="0.25">
      <c r="A13" s="310"/>
      <c r="B13" s="311"/>
      <c r="C13" s="310"/>
      <c r="E13" s="315">
        <v>5</v>
      </c>
      <c r="F13" s="315">
        <v>5</v>
      </c>
      <c r="G13" s="315"/>
      <c r="H13" s="309">
        <f>BD!F43</f>
        <v>2.8252658300526701</v>
      </c>
      <c r="I13" s="316">
        <f>BD!G43</f>
        <v>1.0707858039167588</v>
      </c>
    </row>
    <row r="14" spans="1:15" s="279" customFormat="1" x14ac:dyDescent="0.25">
      <c r="A14" s="306" t="s">
        <v>402</v>
      </c>
      <c r="B14" s="307"/>
      <c r="C14" s="306" t="s">
        <v>403</v>
      </c>
      <c r="G14" s="308"/>
      <c r="M14" s="317" t="s">
        <v>34</v>
      </c>
      <c r="N14" s="326"/>
      <c r="O14" s="317" t="s">
        <v>35</v>
      </c>
    </row>
    <row r="15" spans="1:15" s="279" customFormat="1" ht="52.15" customHeight="1" x14ac:dyDescent="0.25">
      <c r="A15" s="318">
        <f>BD!F14</f>
        <v>0.26792452830188673</v>
      </c>
      <c r="B15" s="318"/>
      <c r="C15" s="318">
        <f>BD!G14</f>
        <v>1.060377358490566</v>
      </c>
      <c r="G15" s="308"/>
      <c r="M15" s="319" t="str">
        <f>IF(A21&gt;A20,"DENTRO DO PADRÃO DE QUALIDADE","FORA DO PADRÃO DE QUALIDADE")</f>
        <v>DENTRO DO PADRÃO DE QUALIDADE</v>
      </c>
      <c r="N15" s="327"/>
      <c r="O15" s="319" t="str">
        <f>IF(C21&gt;C20,"DENTRO DO PADRÃO DE QUALIDADE","FORA DO PADRÃO DE QUALIDADE")</f>
        <v>DENTRO DO PADRÃO DE QUALIDADE</v>
      </c>
    </row>
    <row r="16" spans="1:15" s="279" customFormat="1" x14ac:dyDescent="0.25">
      <c r="A16" s="306" t="s">
        <v>407</v>
      </c>
      <c r="B16" s="307"/>
      <c r="C16" s="306" t="s">
        <v>408</v>
      </c>
      <c r="G16" s="308"/>
      <c r="M16" s="310"/>
      <c r="N16" s="310"/>
      <c r="O16" s="310"/>
    </row>
    <row r="17" spans="1:17" s="279" customFormat="1" ht="25.5" customHeight="1" x14ac:dyDescent="0.25">
      <c r="A17" s="318">
        <f>(A7/'DADOS DE PRODUÇÃO'!C31)-1</f>
        <v>0.90228310143229473</v>
      </c>
      <c r="B17" s="318"/>
      <c r="C17" s="318">
        <f>(C7/'DADOS DE PRODUÇÃO'!C31)-1</f>
        <v>2.0912100398274798</v>
      </c>
      <c r="G17" s="308"/>
      <c r="M17" s="320" t="s">
        <v>81</v>
      </c>
      <c r="N17" s="328"/>
      <c r="O17" s="320" t="s">
        <v>81</v>
      </c>
    </row>
    <row r="18" spans="1:17" s="279" customFormat="1" x14ac:dyDescent="0.25">
      <c r="A18" s="310"/>
      <c r="B18" s="311"/>
      <c r="C18" s="310"/>
      <c r="G18" s="308"/>
      <c r="M18" s="321" t="s">
        <v>34</v>
      </c>
      <c r="N18" s="329"/>
      <c r="O18" s="321" t="s">
        <v>35</v>
      </c>
    </row>
    <row r="19" spans="1:17" s="279" customFormat="1" ht="15.6" customHeight="1" x14ac:dyDescent="0.25">
      <c r="A19" s="306" t="s">
        <v>405</v>
      </c>
      <c r="B19" s="307"/>
      <c r="C19" s="306" t="s">
        <v>406</v>
      </c>
      <c r="G19" s="308"/>
      <c r="M19" s="322">
        <f>'DADOS DOS LAYOUTS'!E53</f>
        <v>200000</v>
      </c>
      <c r="N19" s="330"/>
      <c r="O19" s="331">
        <f>'DADOS DOS LAYOUTS'!F53</f>
        <v>300000</v>
      </c>
    </row>
    <row r="20" spans="1:17" s="279" customFormat="1" ht="25.5" customHeight="1" x14ac:dyDescent="0.25">
      <c r="A20" s="315">
        <v>4.34</v>
      </c>
      <c r="B20" s="315"/>
      <c r="C20" s="315">
        <v>3.84</v>
      </c>
      <c r="G20" s="308"/>
    </row>
    <row r="21" spans="1:17" s="279" customFormat="1" ht="25.5" customHeight="1" x14ac:dyDescent="0.25">
      <c r="A21" s="323">
        <f>BD!F31</f>
        <v>4.375</v>
      </c>
      <c r="B21" s="323"/>
      <c r="C21" s="323">
        <f>BD!G31</f>
        <v>3.8846153846153841</v>
      </c>
      <c r="G21" s="308"/>
      <c r="M21" s="306" t="s">
        <v>411</v>
      </c>
      <c r="N21" s="297"/>
      <c r="O21" s="306" t="s">
        <v>412</v>
      </c>
    </row>
    <row r="22" spans="1:17" s="279" customFormat="1" ht="19.899999999999999" customHeight="1" x14ac:dyDescent="0.45">
      <c r="B22" s="308"/>
      <c r="G22" s="308"/>
      <c r="M22" s="334">
        <f>BD!F18</f>
        <v>32</v>
      </c>
      <c r="N22" s="333"/>
      <c r="O22" s="334">
        <f>BD!G18</f>
        <v>32</v>
      </c>
    </row>
    <row r="23" spans="1:17" s="279" customFormat="1" x14ac:dyDescent="0.25">
      <c r="A23" s="306" t="s">
        <v>409</v>
      </c>
      <c r="B23" s="307"/>
      <c r="C23" s="306" t="s">
        <v>410</v>
      </c>
      <c r="G23" s="308"/>
      <c r="H23" s="324"/>
      <c r="M23" s="301">
        <f>SUM(BD!F15:F17)</f>
        <v>4</v>
      </c>
      <c r="O23" s="301">
        <f>SUM(BD!G15:G17)</f>
        <v>4</v>
      </c>
    </row>
    <row r="24" spans="1:17" s="279" customFormat="1" ht="32.25" x14ac:dyDescent="0.25">
      <c r="A24" s="315">
        <f>4.34*2</f>
        <v>8.68</v>
      </c>
      <c r="B24" s="315"/>
      <c r="C24" s="315">
        <f>3.84*2</f>
        <v>7.68</v>
      </c>
      <c r="G24" s="308"/>
      <c r="L24" s="335" t="s">
        <v>413</v>
      </c>
      <c r="M24" s="306" t="s">
        <v>414</v>
      </c>
      <c r="N24" s="297"/>
      <c r="O24" s="306" t="s">
        <v>415</v>
      </c>
      <c r="P24" s="337">
        <f>BD!F5</f>
        <v>36.226415094339615</v>
      </c>
      <c r="Q24" s="306" t="s">
        <v>5</v>
      </c>
    </row>
    <row r="25" spans="1:17" s="279" customFormat="1" ht="32.25" x14ac:dyDescent="0.45">
      <c r="A25" s="323">
        <f>BD!F31+BD!F30</f>
        <v>15.729166666666668</v>
      </c>
      <c r="B25" s="323"/>
      <c r="C25" s="323">
        <f>BD!G31+BD!G30</f>
        <v>10.397435897435898</v>
      </c>
      <c r="G25" s="308"/>
      <c r="M25" s="334">
        <f>BD!C18</f>
        <v>24</v>
      </c>
      <c r="N25" s="333"/>
      <c r="O25" s="306" t="s">
        <v>415</v>
      </c>
      <c r="P25" s="338">
        <f>BD!G5</f>
        <v>58.867924528301884</v>
      </c>
      <c r="Q25" s="306" t="s">
        <v>6</v>
      </c>
    </row>
    <row r="26" spans="1:17" s="279" customFormat="1" ht="15.75" customHeight="1" x14ac:dyDescent="0.25">
      <c r="B26" s="308"/>
      <c r="G26" s="308"/>
      <c r="L26" s="325" t="s">
        <v>396</v>
      </c>
      <c r="M26" s="336">
        <f>SUM(BD!C15:C17)</f>
        <v>3</v>
      </c>
    </row>
    <row r="27" spans="1:17" s="279" customFormat="1" x14ac:dyDescent="0.25">
      <c r="B27" s="308"/>
      <c r="G27" s="308"/>
    </row>
    <row r="28" spans="1:17" s="279" customFormat="1" x14ac:dyDescent="0.25">
      <c r="B28" s="308"/>
      <c r="G28" s="308"/>
    </row>
    <row r="29" spans="1:17" s="279" customFormat="1" x14ac:dyDescent="0.25">
      <c r="B29" s="308"/>
      <c r="G29" s="308"/>
    </row>
    <row r="30" spans="1:17" s="279" customFormat="1" x14ac:dyDescent="0.25">
      <c r="B30" s="308"/>
      <c r="G30" s="308"/>
    </row>
    <row r="31" spans="1:17" s="279" customFormat="1" x14ac:dyDescent="0.25">
      <c r="B31" s="308"/>
      <c r="G31" s="308"/>
    </row>
    <row r="32" spans="1:17" s="279" customFormat="1" x14ac:dyDescent="0.25">
      <c r="B32" s="308"/>
      <c r="G32" s="308"/>
    </row>
    <row r="33" spans="2:7" s="279" customFormat="1" x14ac:dyDescent="0.25">
      <c r="B33" s="308"/>
      <c r="G33" s="308"/>
    </row>
    <row r="34" spans="2:7" s="279" customFormat="1" x14ac:dyDescent="0.25">
      <c r="B34" s="308"/>
      <c r="G34" s="308"/>
    </row>
  </sheetData>
  <sheetProtection algorithmName="SHA-512" hashValue="kY/52jWBtt/w/eIY3VN0sMQOdCWukmEyGzW+AAhvuPWMcmgiCq40/io0LPjPjK0yHW4NwnIiDrdvDsoGEU4sJw==" saltValue="R3QwAaFAkCozxWcXE/VWbw==" spinCount="100000" sheet="1" objects="1" scenarios="1" selectLockedCells="1"/>
  <conditionalFormatting sqref="M15">
    <cfRule type="cellIs" dxfId="35" priority="20" operator="equal">
      <formula>"DENTRO DO PADRÃO DE QUALIDADE"</formula>
    </cfRule>
  </conditionalFormatting>
  <conditionalFormatting sqref="M15 O15">
    <cfRule type="cellIs" dxfId="34" priority="19" operator="equal">
      <formula>"FORA DO PADRÃO DE QUALIDADE"</formula>
    </cfRule>
  </conditionalFormatting>
  <conditionalFormatting sqref="O15">
    <cfRule type="cellIs" dxfId="33" priority="16" operator="equal">
      <formula>"DENTRO DO PADRÃO DE QUALIDADE"</formula>
    </cfRule>
  </conditionalFormatting>
  <conditionalFormatting sqref="A21:B21">
    <cfRule type="cellIs" dxfId="32" priority="14" operator="greaterThan">
      <formula>$A$20</formula>
    </cfRule>
  </conditionalFormatting>
  <conditionalFormatting sqref="C21">
    <cfRule type="cellIs" dxfId="31" priority="7" operator="lessThan">
      <formula>$C$20</formula>
    </cfRule>
    <cfRule type="cellIs" dxfId="30" priority="13" operator="greaterThan">
      <formula>$C$20</formula>
    </cfRule>
  </conditionalFormatting>
  <conditionalFormatting sqref="I13">
    <cfRule type="cellIs" dxfId="29" priority="1" operator="lessThan">
      <formula>0</formula>
    </cfRule>
    <cfRule type="cellIs" dxfId="28" priority="11" operator="greaterThan">
      <formula>$H$13</formula>
    </cfRule>
    <cfRule type="cellIs" dxfId="27" priority="12" operator="lessThan">
      <formula>$H$13</formula>
    </cfRule>
  </conditionalFormatting>
  <conditionalFormatting sqref="H13">
    <cfRule type="cellIs" dxfId="26" priority="2" operator="lessThan">
      <formula>0</formula>
    </cfRule>
    <cfRule type="cellIs" dxfId="25" priority="9" operator="greaterThan">
      <formula>$I$13</formula>
    </cfRule>
    <cfRule type="cellIs" dxfId="24" priority="10" operator="lessThan">
      <formula>$I$13</formula>
    </cfRule>
  </conditionalFormatting>
  <conditionalFormatting sqref="A21">
    <cfRule type="cellIs" dxfId="23" priority="8" operator="lessThan">
      <formula>$A$20</formula>
    </cfRule>
  </conditionalFormatting>
  <conditionalFormatting sqref="A25">
    <cfRule type="cellIs" dxfId="22" priority="4" operator="lessThan">
      <formula>$A$24</formula>
    </cfRule>
    <cfRule type="cellIs" dxfId="21" priority="6" operator="greaterThan">
      <formula>$A$24</formula>
    </cfRule>
  </conditionalFormatting>
  <conditionalFormatting sqref="C25">
    <cfRule type="cellIs" dxfId="20" priority="3" operator="lessThan">
      <formula>$C$24</formula>
    </cfRule>
    <cfRule type="cellIs" dxfId="19" priority="5" operator="greaterThan">
      <formula>$C$24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1" tint="4.9989318521683403E-2"/>
  </sheetPr>
  <dimension ref="B2:J48"/>
  <sheetViews>
    <sheetView zoomScale="80" zoomScaleNormal="80" workbookViewId="0">
      <selection activeCell="G35" sqref="G35"/>
    </sheetView>
  </sheetViews>
  <sheetFormatPr defaultRowHeight="15" x14ac:dyDescent="0.25"/>
  <cols>
    <col min="2" max="2" width="62.85546875" bestFit="1" customWidth="1"/>
    <col min="3" max="3" width="15.28515625" style="3" bestFit="1" customWidth="1"/>
    <col min="4" max="4" width="16.5703125" style="3" customWidth="1"/>
    <col min="5" max="5" width="16.42578125" style="3" customWidth="1"/>
    <col min="6" max="6" width="19.140625" style="3" customWidth="1"/>
    <col min="7" max="7" width="19" style="3" customWidth="1"/>
  </cols>
  <sheetData>
    <row r="2" spans="2:10" x14ac:dyDescent="0.25">
      <c r="B2" s="261" t="s">
        <v>54</v>
      </c>
      <c r="C2" s="262" t="s">
        <v>390</v>
      </c>
      <c r="D2" s="263" t="s">
        <v>391</v>
      </c>
      <c r="E2" s="263" t="s">
        <v>392</v>
      </c>
      <c r="F2" s="264" t="s">
        <v>393</v>
      </c>
      <c r="G2" s="264" t="s">
        <v>394</v>
      </c>
    </row>
    <row r="3" spans="2:10" x14ac:dyDescent="0.25">
      <c r="B3" s="249" t="s">
        <v>37</v>
      </c>
      <c r="C3" s="29">
        <f>(C6*C9)/C7</f>
        <v>13714.285714285714</v>
      </c>
      <c r="D3" s="30">
        <f>(D9*D6)/D7</f>
        <v>13702.564102564103</v>
      </c>
      <c r="E3" s="30">
        <f>(E6*E9)/E7</f>
        <v>13741.935483870968</v>
      </c>
      <c r="F3" s="31">
        <f>(F21*C3)/C21</f>
        <v>17388.679245283016</v>
      </c>
      <c r="G3" s="31">
        <f>(G21*C3)/C21</f>
        <v>28256.603773584906</v>
      </c>
    </row>
    <row r="4" spans="2:10" x14ac:dyDescent="0.25">
      <c r="B4" s="249" t="s">
        <v>38</v>
      </c>
      <c r="C4" s="29">
        <f>(C8*C9)/C7</f>
        <v>1714.2857142857142</v>
      </c>
      <c r="D4" s="30">
        <f>(D8*D9)/D7</f>
        <v>1712.8205128205129</v>
      </c>
      <c r="E4" s="30">
        <f>(E8*E9)/E7</f>
        <v>1717.741935483871</v>
      </c>
      <c r="F4" s="34">
        <f>F3/8</f>
        <v>2173.584905660377</v>
      </c>
      <c r="G4" s="34">
        <f>G3/8</f>
        <v>3532.0754716981132</v>
      </c>
    </row>
    <row r="5" spans="2:10" x14ac:dyDescent="0.25">
      <c r="B5" s="249" t="s">
        <v>39</v>
      </c>
      <c r="C5" s="29">
        <f>(C9/C7)</f>
        <v>28.571428571428573</v>
      </c>
      <c r="D5" s="30">
        <f>(D9/D7)</f>
        <v>28.547008547008549</v>
      </c>
      <c r="E5" s="30">
        <f>(E9/E7)</f>
        <v>28.629032258064516</v>
      </c>
      <c r="F5" s="34">
        <f>F4/60</f>
        <v>36.226415094339615</v>
      </c>
      <c r="G5" s="34">
        <f>G4/60</f>
        <v>58.867924528301884</v>
      </c>
      <c r="I5">
        <v>29</v>
      </c>
      <c r="J5">
        <v>1</v>
      </c>
    </row>
    <row r="6" spans="2:10" x14ac:dyDescent="0.25">
      <c r="B6" s="249" t="s">
        <v>40</v>
      </c>
      <c r="C6" s="29">
        <v>480</v>
      </c>
      <c r="D6" s="30">
        <v>480</v>
      </c>
      <c r="E6" s="30">
        <v>480</v>
      </c>
      <c r="F6" s="34">
        <v>480</v>
      </c>
      <c r="G6" s="34">
        <v>480</v>
      </c>
      <c r="I6">
        <f>I5*2</f>
        <v>58</v>
      </c>
      <c r="J6">
        <v>2</v>
      </c>
    </row>
    <row r="7" spans="2:10" x14ac:dyDescent="0.25">
      <c r="B7" s="249" t="s">
        <v>41</v>
      </c>
      <c r="C7" s="36">
        <f>ROUNDUP(C25/C12,0)</f>
        <v>14</v>
      </c>
      <c r="D7" s="37">
        <v>23.4</v>
      </c>
      <c r="E7" s="37">
        <v>24.8</v>
      </c>
      <c r="F7" s="40">
        <f>F25/F21</f>
        <v>18.4375</v>
      </c>
      <c r="G7" s="40">
        <f>G25/G21</f>
        <v>12.064102564102564</v>
      </c>
      <c r="I7">
        <f>I5*3</f>
        <v>87</v>
      </c>
      <c r="J7">
        <v>3</v>
      </c>
    </row>
    <row r="8" spans="2:10" x14ac:dyDescent="0.25">
      <c r="B8" s="249" t="s">
        <v>42</v>
      </c>
      <c r="C8" s="29">
        <v>60</v>
      </c>
      <c r="D8" s="30">
        <v>60</v>
      </c>
      <c r="E8" s="30">
        <v>60</v>
      </c>
      <c r="F8" s="34">
        <v>60</v>
      </c>
      <c r="G8" s="34">
        <v>60</v>
      </c>
    </row>
    <row r="9" spans="2:10" x14ac:dyDescent="0.25">
      <c r="B9" s="249" t="s">
        <v>43</v>
      </c>
      <c r="C9" s="29">
        <v>400</v>
      </c>
      <c r="D9" s="30">
        <v>668</v>
      </c>
      <c r="E9" s="30">
        <v>710</v>
      </c>
      <c r="F9" s="34">
        <v>668</v>
      </c>
      <c r="G9" s="34">
        <v>710</v>
      </c>
    </row>
    <row r="10" spans="2:10" x14ac:dyDescent="0.25">
      <c r="B10" s="249" t="s">
        <v>44</v>
      </c>
      <c r="C10" s="29">
        <f>C3/C9</f>
        <v>34.285714285714285</v>
      </c>
      <c r="D10" s="30">
        <f>D3/D9</f>
        <v>20.512820512820515</v>
      </c>
      <c r="E10" s="30">
        <f>E3/E9</f>
        <v>19.35483870967742</v>
      </c>
      <c r="F10" s="34">
        <f>F3/F9</f>
        <v>26.030956954016492</v>
      </c>
      <c r="G10" s="34">
        <f>G3/G9</f>
        <v>39.798033483922403</v>
      </c>
    </row>
    <row r="11" spans="2:10" x14ac:dyDescent="0.25">
      <c r="B11" s="249" t="s">
        <v>45</v>
      </c>
      <c r="C11" s="29">
        <v>1004</v>
      </c>
      <c r="D11" s="30">
        <v>1000</v>
      </c>
      <c r="E11" s="30">
        <v>1000</v>
      </c>
      <c r="F11" s="34">
        <f>(C11*F3)/C3</f>
        <v>1272.996226415094</v>
      </c>
      <c r="G11" s="34">
        <f>(C11*G3)/C3</f>
        <v>2068.6188679245283</v>
      </c>
    </row>
    <row r="12" spans="2:10" x14ac:dyDescent="0.25">
      <c r="B12" s="249" t="s">
        <v>46</v>
      </c>
      <c r="C12" s="42">
        <v>3.8</v>
      </c>
      <c r="D12" s="37">
        <f>D21</f>
        <v>3.7820512820512824</v>
      </c>
      <c r="E12" s="37">
        <f>E21</f>
        <v>3.794354838709677</v>
      </c>
      <c r="F12" s="41">
        <f>F21</f>
        <v>4.8</v>
      </c>
      <c r="G12" s="41">
        <f>G21</f>
        <v>7.8</v>
      </c>
    </row>
    <row r="13" spans="2:10" x14ac:dyDescent="0.25">
      <c r="B13" s="249" t="s">
        <v>47</v>
      </c>
      <c r="C13" s="29">
        <v>260</v>
      </c>
      <c r="D13" s="30">
        <v>230</v>
      </c>
      <c r="E13" s="30">
        <v>260</v>
      </c>
      <c r="F13" s="273">
        <v>230</v>
      </c>
      <c r="G13" s="273">
        <v>260</v>
      </c>
    </row>
    <row r="14" spans="2:10" x14ac:dyDescent="0.25">
      <c r="B14" s="249" t="s">
        <v>48</v>
      </c>
      <c r="C14" s="29"/>
      <c r="D14" s="43">
        <f>(D3/C3)-1</f>
        <v>-8.5470085470074064E-4</v>
      </c>
      <c r="E14" s="43">
        <f>(E3/C3)-1</f>
        <v>2.0161290322580072E-3</v>
      </c>
      <c r="F14" s="45">
        <f>(F3/C3)-1</f>
        <v>0.26792452830188673</v>
      </c>
      <c r="G14" s="254">
        <f>(G3/C3)-1</f>
        <v>1.060377358490566</v>
      </c>
    </row>
    <row r="15" spans="2:10" x14ac:dyDescent="0.25">
      <c r="B15" s="250" t="s">
        <v>50</v>
      </c>
      <c r="C15" s="29">
        <f>IF(AND($C$5&gt;=59,$C$5&lt;=87),3,IF(AND($C$5&gt;=30,$C$5&lt;=587),2,IF(AND($C$5&gt;=0,$C$5&lt;=29),1,0)))</f>
        <v>1</v>
      </c>
      <c r="D15" s="26">
        <f>IF(AND($D$5&gt;=59,$D$5&lt;=87),3,IF(AND($D$5&gt;=30,$D$5&lt;=587),2,IF(AND($D$5&gt;=0,$D$5&lt;=29),1,0)))</f>
        <v>1</v>
      </c>
      <c r="E15" s="26">
        <f>IF(AND($E$5&gt;=59,$E$5&lt;=87),3,IF(AND($E$5&gt;=30,$E$5&lt;=587),2,IF(AND($E$5&gt;=0,$E$5&lt;=29),1,0)))</f>
        <v>1</v>
      </c>
      <c r="F15" s="26">
        <f>IF(AND($F$5&gt;=59,$F$5&lt;=87),3,IF(AND($F$5&gt;=30,$F$5&lt;=587),2,IF(AND($F$5&gt;=0,$F$5&lt;=29),1,0)))</f>
        <v>2</v>
      </c>
      <c r="G15" s="26">
        <f>IF(AND($G$5&gt;=59,$G$5&lt;=87),3,IF(AND($G$5&gt;=30,$G$5&lt;=587),2,IF(AND($G$5&gt;=0,$G$5&lt;=29),1,0)))</f>
        <v>2</v>
      </c>
    </row>
    <row r="16" spans="2:10" x14ac:dyDescent="0.25">
      <c r="B16" s="250" t="s">
        <v>51</v>
      </c>
      <c r="C16" s="29">
        <f t="shared" ref="C16" si="0">IF(AND($C$5&gt;=59,$C$5&lt;=87),3,IF(AND($C$5&gt;=30,$C$5&lt;=587),2,IF(AND($C$5&gt;=0,$C$5&lt;=29),1,0)))</f>
        <v>1</v>
      </c>
      <c r="D16" s="26">
        <f>IF(AND($D$5&gt;=59,$D$5&lt;=87),2,IF(AND($D$5&gt;=30,$D$5&lt;=587),1,IF(AND($D$5&gt;=0,$D$5&lt;=29),1,0)))</f>
        <v>1</v>
      </c>
      <c r="E16" s="26">
        <f>IF(AND($E$5&gt;=59,$E$5&lt;=87),2,IF(AND($E$5&gt;=30,$E$5&lt;=587),1,IF(AND($E$5&gt;=0,$E$5&lt;=29),1,0)))</f>
        <v>1</v>
      </c>
      <c r="F16" s="26">
        <f>IF(AND($F$5&gt;=59,$F$5&lt;=87),2,IF(AND($F$5&gt;=30,$F$5&lt;=587),1,IF(AND($F$5&gt;=0,$F$5&lt;=29),1,0)))</f>
        <v>1</v>
      </c>
      <c r="G16" s="26">
        <f>IF(AND($G$5&gt;=59,$G$5&lt;=87),2,IF(AND($G$5&gt;=30,$G$5&lt;=587),1,IF(AND($G$5&gt;=0,$G$5&lt;=29),1,0)))</f>
        <v>1</v>
      </c>
    </row>
    <row r="17" spans="2:9" x14ac:dyDescent="0.25">
      <c r="B17" s="250" t="s">
        <v>52</v>
      </c>
      <c r="C17" s="29">
        <f>IF(AND($C$5&gt;=59,$C$5&lt;=87),1,IF(AND($C$5&gt;=30,$C$5&lt;=587),1,IF(AND($C$5&gt;=0,$C$5&lt;=29),1,0)))</f>
        <v>1</v>
      </c>
      <c r="D17" s="26">
        <f>IF(AND($D$5&gt;=59,$D$5&lt;=87),1,IF(AND($D$5&gt;=30,$D$5&lt;=587),1,IF(AND($D$5&gt;=0,$D$5&lt;=29),1,0)))</f>
        <v>1</v>
      </c>
      <c r="E17" s="26">
        <f>IF(AND($E$5&gt;=59,$E$5&lt;=87),1,IF(AND($E$5&gt;=30,$E$5&lt;=587),1,IF(AND($E$5&gt;=0,$E$5&lt;=29),1,0)))</f>
        <v>1</v>
      </c>
      <c r="F17" s="26">
        <f>IF(AND($F$5&gt;=59,$F$5&lt;=87),1,IF(AND($F$5&gt;=30,$F$5&lt;=587),1,IF(AND($F$5&gt;=0,$F$5&lt;=29),1,0)))</f>
        <v>1</v>
      </c>
      <c r="G17" s="26">
        <f>IF(AND($G$5&gt;=59,$G$5&lt;=87),1,IF(AND($G$5&gt;=30,$G$5&lt;=587),1,IF(AND($G$5&gt;=0,$G$5&lt;=29),1,0)))</f>
        <v>1</v>
      </c>
    </row>
    <row r="18" spans="2:9" x14ac:dyDescent="0.25">
      <c r="B18" s="250" t="s">
        <v>53</v>
      </c>
      <c r="C18" s="25">
        <f>SUM(C15:C17)*8</f>
        <v>24</v>
      </c>
      <c r="D18" s="26">
        <f>SUM(D15:D17)*8</f>
        <v>24</v>
      </c>
      <c r="E18" s="26">
        <f>SUM(E15:E17)*8</f>
        <v>24</v>
      </c>
      <c r="F18" s="332">
        <f>SUM(F15:F17)*8</f>
        <v>32</v>
      </c>
      <c r="G18" s="332">
        <f>SUM(G15:G17)*8</f>
        <v>32</v>
      </c>
    </row>
    <row r="19" spans="2:9" x14ac:dyDescent="0.25">
      <c r="B19" s="250" t="s">
        <v>55</v>
      </c>
      <c r="C19" s="25">
        <v>120</v>
      </c>
      <c r="D19" s="26">
        <v>120</v>
      </c>
      <c r="E19" s="26">
        <v>120</v>
      </c>
      <c r="F19" s="27">
        <v>120</v>
      </c>
      <c r="G19" s="27">
        <v>120</v>
      </c>
    </row>
    <row r="20" spans="2:9" x14ac:dyDescent="0.25">
      <c r="B20" s="250" t="s">
        <v>56</v>
      </c>
      <c r="C20" s="29">
        <f>C19*C5</f>
        <v>3428.5714285714289</v>
      </c>
      <c r="D20" s="30">
        <f>D19*D5</f>
        <v>3425.6410256410259</v>
      </c>
      <c r="E20" s="30">
        <f>E19*E5</f>
        <v>3435.483870967742</v>
      </c>
      <c r="F20" s="34">
        <f>F19*F5</f>
        <v>4347.169811320754</v>
      </c>
      <c r="G20" s="34">
        <f>G19*G5</f>
        <v>7064.1509433962265</v>
      </c>
    </row>
    <row r="21" spans="2:9" x14ac:dyDescent="0.25">
      <c r="B21" s="250" t="s">
        <v>57</v>
      </c>
      <c r="C21" s="271">
        <f>C25/C7</f>
        <v>3.7857142857142856</v>
      </c>
      <c r="D21" s="49">
        <f>D25/D7</f>
        <v>3.7820512820512824</v>
      </c>
      <c r="E21" s="49">
        <f>E25/E7</f>
        <v>3.794354838709677</v>
      </c>
      <c r="F21" s="248">
        <f>DASHBOARD!A4</f>
        <v>4.8</v>
      </c>
      <c r="G21" s="248">
        <f>DASHBOARD!C4</f>
        <v>7.8</v>
      </c>
    </row>
    <row r="22" spans="2:9" x14ac:dyDescent="0.25">
      <c r="B22" s="250" t="s">
        <v>58</v>
      </c>
      <c r="C22" s="25">
        <v>20</v>
      </c>
      <c r="D22" s="26">
        <v>54.5</v>
      </c>
      <c r="E22" s="26">
        <f>10+10+10+10+10+0.15+0.15+0.5</f>
        <v>50.8</v>
      </c>
      <c r="F22" s="27">
        <v>54.5</v>
      </c>
      <c r="G22" s="27">
        <f>10+10+10+10+10+0.15+0.15+0.5</f>
        <v>50.8</v>
      </c>
    </row>
    <row r="23" spans="2:9" x14ac:dyDescent="0.25">
      <c r="B23" s="250" t="s">
        <v>59</v>
      </c>
      <c r="C23" s="25">
        <v>20</v>
      </c>
      <c r="D23" s="26">
        <f>1.5+18+1.5</f>
        <v>21</v>
      </c>
      <c r="E23" s="26">
        <f>10+10+10+0.15+0.15</f>
        <v>30.299999999999997</v>
      </c>
      <c r="F23" s="27">
        <f>1.5+18+1.5</f>
        <v>21</v>
      </c>
      <c r="G23" s="27">
        <f>10+10+10+0.15+0.15</f>
        <v>30.299999999999997</v>
      </c>
    </row>
    <row r="24" spans="2:9" x14ac:dyDescent="0.25">
      <c r="B24" s="250" t="s">
        <v>60</v>
      </c>
      <c r="C24" s="25">
        <v>13</v>
      </c>
      <c r="D24" s="26">
        <v>13</v>
      </c>
      <c r="E24" s="26">
        <v>13</v>
      </c>
      <c r="F24" s="27">
        <v>13</v>
      </c>
      <c r="G24" s="27">
        <v>13</v>
      </c>
    </row>
    <row r="25" spans="2:9" x14ac:dyDescent="0.25">
      <c r="B25" s="250" t="s">
        <v>61</v>
      </c>
      <c r="C25" s="25">
        <f>C24+C23+C22</f>
        <v>53</v>
      </c>
      <c r="D25" s="26">
        <f>D24+D23+D22</f>
        <v>88.5</v>
      </c>
      <c r="E25" s="26">
        <f>E24+E23+E22</f>
        <v>94.1</v>
      </c>
      <c r="F25" s="27">
        <f>F24+F23+F22</f>
        <v>88.5</v>
      </c>
      <c r="G25" s="27">
        <f>G24+G23+G22</f>
        <v>94.1</v>
      </c>
    </row>
    <row r="26" spans="2:9" x14ac:dyDescent="0.25">
      <c r="B26" s="250" t="s">
        <v>62</v>
      </c>
      <c r="C26" s="25">
        <v>9</v>
      </c>
      <c r="D26" s="26">
        <v>21</v>
      </c>
      <c r="E26" s="26">
        <v>16</v>
      </c>
      <c r="F26" s="27">
        <v>21</v>
      </c>
      <c r="G26" s="27">
        <v>16</v>
      </c>
    </row>
    <row r="27" spans="2:9" x14ac:dyDescent="0.25">
      <c r="B27" s="250" t="s">
        <v>63</v>
      </c>
      <c r="C27" s="25" t="s">
        <v>64</v>
      </c>
      <c r="D27" s="26" t="s">
        <v>65</v>
      </c>
      <c r="E27" s="26" t="s">
        <v>66</v>
      </c>
      <c r="F27" s="27" t="s">
        <v>65</v>
      </c>
      <c r="G27" s="27" t="s">
        <v>66</v>
      </c>
    </row>
    <row r="28" spans="2:9" x14ac:dyDescent="0.25">
      <c r="B28" s="250" t="s">
        <v>68</v>
      </c>
      <c r="C28" s="50">
        <f>C25/C21</f>
        <v>14</v>
      </c>
      <c r="D28" s="51">
        <f>D25/D21</f>
        <v>23.4</v>
      </c>
      <c r="E28" s="51">
        <f>E25/E21</f>
        <v>24.8</v>
      </c>
      <c r="F28" s="54">
        <f>F25/F21</f>
        <v>18.4375</v>
      </c>
      <c r="G28" s="54">
        <f>G25/G21</f>
        <v>12.064102564102564</v>
      </c>
      <c r="H28" s="4">
        <f>Tabela2[[#This Row],[LAYOUT A (NOVO)]]-F29</f>
        <v>15.729166666666668</v>
      </c>
      <c r="I28" s="4">
        <f>Tabela2[[#This Row],[LAYOUT B (NOVO)]]-G29</f>
        <v>10.397435897435898</v>
      </c>
    </row>
    <row r="29" spans="2:9" x14ac:dyDescent="0.25">
      <c r="B29" s="250" t="s">
        <v>69</v>
      </c>
      <c r="C29" s="50">
        <f>C28-(C30+C31)</f>
        <v>3.4339622641509422</v>
      </c>
      <c r="D29" s="51">
        <f>D28-(D30+D31)</f>
        <v>3.4372881355932208</v>
      </c>
      <c r="E29" s="51">
        <f>E28-(E30+E31)</f>
        <v>3.4261424017003179</v>
      </c>
      <c r="F29" s="54">
        <f>F28-(F30+F31)</f>
        <v>2.7083333333333321</v>
      </c>
      <c r="G29" s="54">
        <f>G28-(G30+G31)</f>
        <v>1.6666666666666661</v>
      </c>
    </row>
    <row r="30" spans="2:9" x14ac:dyDescent="0.25">
      <c r="B30" s="250" t="s">
        <v>70</v>
      </c>
      <c r="C30" s="36">
        <f>C22/C21</f>
        <v>5.2830188679245289</v>
      </c>
      <c r="D30" s="37">
        <f>D22/D21</f>
        <v>14.410169491525423</v>
      </c>
      <c r="E30" s="37">
        <f>E22/E21</f>
        <v>13.388310308182785</v>
      </c>
      <c r="F30" s="40">
        <f>F22/F21</f>
        <v>11.354166666666668</v>
      </c>
      <c r="G30" s="40">
        <f>G22/G21</f>
        <v>6.5128205128205128</v>
      </c>
    </row>
    <row r="31" spans="2:9" x14ac:dyDescent="0.25">
      <c r="B31" s="251" t="s">
        <v>71</v>
      </c>
      <c r="C31" s="36">
        <f>C23/C21</f>
        <v>5.2830188679245289</v>
      </c>
      <c r="D31" s="37">
        <f>D23/D21</f>
        <v>5.5525423728813559</v>
      </c>
      <c r="E31" s="37">
        <f>E23/E21</f>
        <v>7.9855472901168971</v>
      </c>
      <c r="F31" s="40">
        <f>F23/F21</f>
        <v>4.375</v>
      </c>
      <c r="G31" s="40">
        <f>G23/G21</f>
        <v>3.8846153846153841</v>
      </c>
    </row>
    <row r="32" spans="2:9" x14ac:dyDescent="0.25">
      <c r="B32" s="250" t="s">
        <v>72</v>
      </c>
      <c r="C32" s="36">
        <v>2.5</v>
      </c>
      <c r="D32" s="37">
        <v>2.5</v>
      </c>
      <c r="E32" s="37">
        <v>2.5</v>
      </c>
      <c r="F32" s="40">
        <v>2.5</v>
      </c>
      <c r="G32" s="40">
        <v>2.5</v>
      </c>
    </row>
    <row r="33" spans="2:7" x14ac:dyDescent="0.25">
      <c r="B33" s="252" t="s">
        <v>73</v>
      </c>
      <c r="C33" s="25">
        <v>5</v>
      </c>
      <c r="D33" s="26">
        <v>5</v>
      </c>
      <c r="E33" s="26">
        <v>5</v>
      </c>
      <c r="F33" s="27">
        <v>5</v>
      </c>
      <c r="G33" s="27">
        <v>5</v>
      </c>
    </row>
    <row r="34" spans="2:7" x14ac:dyDescent="0.25">
      <c r="B34" s="253" t="s">
        <v>74</v>
      </c>
      <c r="C34" s="36">
        <f>C30</f>
        <v>5.2830188679245289</v>
      </c>
      <c r="D34" s="37">
        <f>D30</f>
        <v>14.410169491525423</v>
      </c>
      <c r="E34" s="37">
        <f>E30</f>
        <v>13.388310308182785</v>
      </c>
      <c r="F34" s="37">
        <f>F30</f>
        <v>11.354166666666668</v>
      </c>
      <c r="G34" s="40">
        <f>G30</f>
        <v>6.5128205128205128</v>
      </c>
    </row>
    <row r="35" spans="2:7" x14ac:dyDescent="0.25">
      <c r="B35" s="252" t="s">
        <v>75</v>
      </c>
      <c r="C35" s="36">
        <f>C34</f>
        <v>5.2830188679245289</v>
      </c>
      <c r="D35" s="37">
        <f>D34</f>
        <v>14.410169491525423</v>
      </c>
      <c r="E35" s="37">
        <f>E34</f>
        <v>13.388310308182785</v>
      </c>
      <c r="F35" s="37">
        <f>F34</f>
        <v>11.354166666666668</v>
      </c>
      <c r="G35" s="40">
        <f>G34</f>
        <v>6.5128205128205128</v>
      </c>
    </row>
    <row r="36" spans="2:7" x14ac:dyDescent="0.25">
      <c r="B36" s="252" t="s">
        <v>76</v>
      </c>
      <c r="C36" s="25" t="s">
        <v>77</v>
      </c>
      <c r="D36" s="26" t="s">
        <v>77</v>
      </c>
      <c r="E36" s="26" t="s">
        <v>77</v>
      </c>
      <c r="F36" s="27" t="s">
        <v>77</v>
      </c>
      <c r="G36" s="27" t="s">
        <v>77</v>
      </c>
    </row>
    <row r="37" spans="2:7" x14ac:dyDescent="0.25">
      <c r="B37" s="252" t="s">
        <v>78</v>
      </c>
      <c r="C37" s="29">
        <v>186</v>
      </c>
      <c r="D37" s="26" t="s">
        <v>79</v>
      </c>
      <c r="E37" s="26" t="s">
        <v>79</v>
      </c>
      <c r="F37" s="27" t="s">
        <v>79</v>
      </c>
      <c r="G37" s="27" t="s">
        <v>79</v>
      </c>
    </row>
    <row r="38" spans="2:7" x14ac:dyDescent="0.25">
      <c r="B38" s="252" t="s">
        <v>81</v>
      </c>
      <c r="C38" s="26"/>
      <c r="D38" s="57">
        <v>200000</v>
      </c>
      <c r="E38" s="57">
        <v>300000</v>
      </c>
      <c r="F38" s="58">
        <v>200000</v>
      </c>
      <c r="G38" s="58">
        <v>300000</v>
      </c>
    </row>
    <row r="39" spans="2:7" x14ac:dyDescent="0.25">
      <c r="B39" s="252" t="s">
        <v>82</v>
      </c>
      <c r="C39" s="57">
        <f>(792646.34)/3</f>
        <v>264215.44666666666</v>
      </c>
      <c r="D39" s="57">
        <f>C39</f>
        <v>264215.44666666666</v>
      </c>
      <c r="E39" s="57">
        <f>C39</f>
        <v>264215.44666666666</v>
      </c>
      <c r="F39" s="58">
        <f>(792646.34)/3</f>
        <v>264215.44666666666</v>
      </c>
      <c r="G39" s="58">
        <f>(792646.34)/3</f>
        <v>264215.44666666666</v>
      </c>
    </row>
    <row r="40" spans="2:7" x14ac:dyDescent="0.25">
      <c r="B40" s="252" t="s">
        <v>83</v>
      </c>
      <c r="C40" s="59"/>
      <c r="D40" s="61">
        <f>D14</f>
        <v>-8.5470085470074064E-4</v>
      </c>
      <c r="E40" s="59">
        <f>E14</f>
        <v>2.0161290322580072E-3</v>
      </c>
      <c r="F40" s="61">
        <f>F14</f>
        <v>0.26792452830188673</v>
      </c>
      <c r="G40" s="255">
        <f>G14</f>
        <v>1.060377358490566</v>
      </c>
    </row>
    <row r="41" spans="2:7" x14ac:dyDescent="0.25">
      <c r="B41" s="252" t="s">
        <v>84</v>
      </c>
      <c r="C41" s="57"/>
      <c r="D41" s="57">
        <f>D39*(1+D14)</f>
        <v>263989.62149857549</v>
      </c>
      <c r="E41" s="57">
        <f>E39*(1+E14)</f>
        <v>264748.13909946237</v>
      </c>
      <c r="F41" s="57">
        <f>F39*(1+F14)</f>
        <v>335005.24558490561</v>
      </c>
      <c r="G41" s="58">
        <f>G39*(1+G14)</f>
        <v>544383.52407547168</v>
      </c>
    </row>
    <row r="42" spans="2:7" x14ac:dyDescent="0.25">
      <c r="B42" s="252" t="s">
        <v>85</v>
      </c>
      <c r="C42" s="57"/>
      <c r="D42" s="58">
        <f>D41-D39</f>
        <v>-225.8251680911635</v>
      </c>
      <c r="E42" s="57">
        <f>E41-E39</f>
        <v>532.69243279570946</v>
      </c>
      <c r="F42" s="58">
        <f>F41-F39</f>
        <v>70789.798918238957</v>
      </c>
      <c r="G42" s="58">
        <f>G41-G39</f>
        <v>280168.07740880502</v>
      </c>
    </row>
    <row r="43" spans="2:7" x14ac:dyDescent="0.25">
      <c r="B43" s="252" t="s">
        <v>86</v>
      </c>
      <c r="C43" s="57"/>
      <c r="D43" s="57"/>
      <c r="E43" s="245">
        <f>E38/E42</f>
        <v>563.17676304414795</v>
      </c>
      <c r="F43" s="244">
        <f>F38/F42</f>
        <v>2.8252658300526701</v>
      </c>
      <c r="G43" s="244">
        <f>G38/G42</f>
        <v>1.0707858039167588</v>
      </c>
    </row>
    <row r="44" spans="2:7" x14ac:dyDescent="0.25">
      <c r="B44" s="252" t="s">
        <v>88</v>
      </c>
      <c r="C44" s="57">
        <v>30000</v>
      </c>
      <c r="D44" s="57">
        <f>-C44</f>
        <v>-30000</v>
      </c>
      <c r="E44" s="57">
        <f>-C44</f>
        <v>-30000</v>
      </c>
      <c r="F44" s="58">
        <f t="shared" ref="F44:G46" si="1">D44</f>
        <v>-30000</v>
      </c>
      <c r="G44" s="58">
        <f t="shared" si="1"/>
        <v>-30000</v>
      </c>
    </row>
    <row r="45" spans="2:7" x14ac:dyDescent="0.25">
      <c r="B45" s="252" t="s">
        <v>89</v>
      </c>
      <c r="C45" s="57">
        <v>5000</v>
      </c>
      <c r="D45" s="57">
        <f>-C45</f>
        <v>-5000</v>
      </c>
      <c r="E45" s="57">
        <f>C45</f>
        <v>5000</v>
      </c>
      <c r="F45" s="58">
        <f t="shared" si="1"/>
        <v>-5000</v>
      </c>
      <c r="G45" s="58">
        <f t="shared" si="1"/>
        <v>5000</v>
      </c>
    </row>
    <row r="46" spans="2:7" x14ac:dyDescent="0.25">
      <c r="B46" s="252" t="s">
        <v>90</v>
      </c>
      <c r="C46" s="63">
        <f>SUM(C44:C45)</f>
        <v>35000</v>
      </c>
      <c r="D46" s="63">
        <f>SUM(D44:D45)</f>
        <v>-35000</v>
      </c>
      <c r="E46" s="63">
        <f>SUM(E44:E45)-C45</f>
        <v>-30000</v>
      </c>
      <c r="F46" s="58">
        <f t="shared" si="1"/>
        <v>-35000</v>
      </c>
      <c r="G46" s="58">
        <f t="shared" si="1"/>
        <v>-30000</v>
      </c>
    </row>
    <row r="47" spans="2:7" x14ac:dyDescent="0.25">
      <c r="B47" s="252" t="s">
        <v>91</v>
      </c>
      <c r="C47" s="26"/>
      <c r="D47" s="64">
        <f>D46*12</f>
        <v>-420000</v>
      </c>
      <c r="E47" s="64">
        <f>E46*12</f>
        <v>-360000</v>
      </c>
      <c r="F47" s="64">
        <f>F46*12</f>
        <v>-420000</v>
      </c>
      <c r="G47" s="256">
        <f>G46*12</f>
        <v>-360000</v>
      </c>
    </row>
    <row r="48" spans="2:7" x14ac:dyDescent="0.25">
      <c r="B48" s="252" t="s">
        <v>92</v>
      </c>
      <c r="C48" s="257"/>
      <c r="D48" s="258">
        <f>(D47/E47)-1</f>
        <v>0.16666666666666674</v>
      </c>
      <c r="E48" s="259"/>
      <c r="F48" s="258">
        <f>(F47/G47)-1</f>
        <v>0.16666666666666674</v>
      </c>
      <c r="G48" s="260"/>
    </row>
  </sheetData>
  <sheetProtection algorithmName="SHA-512" hashValue="2TK77xpzmtTuBG0am3kALlq620jVcV4cCVa6wVHL88X9xQi/uE1Dj98Tq27lCAi1BSeQzoOfaj8XWu4+Heme4Q==" saltValue="jnSENrUTMn+6pAFuK8N09A==" spinCount="100000" sheet="1" objects="1" scenarios="1"/>
  <conditionalFormatting sqref="C18:E18 D15:G17">
    <cfRule type="cellIs" dxfId="18" priority="21" operator="between">
      <formula>6.5</formula>
      <formula>10</formula>
    </cfRule>
  </conditionalFormatting>
  <conditionalFormatting sqref="C31:E31">
    <cfRule type="cellIs" dxfId="17" priority="19" operator="greaterThan">
      <formula>5</formula>
    </cfRule>
    <cfRule type="cellIs" dxfId="16" priority="20" operator="lessThan">
      <formula>5</formula>
    </cfRule>
  </conditionalFormatting>
  <conditionalFormatting sqref="C34:E34">
    <cfRule type="cellIs" dxfId="15" priority="16" operator="equal">
      <formula>5</formula>
    </cfRule>
    <cfRule type="cellIs" dxfId="14" priority="17" operator="lessThan">
      <formula>5</formula>
    </cfRule>
    <cfRule type="cellIs" dxfId="13" priority="18" operator="greaterThan">
      <formula>5</formula>
    </cfRule>
  </conditionalFormatting>
  <conditionalFormatting sqref="F18:G18">
    <cfRule type="cellIs" dxfId="12" priority="12" operator="between">
      <formula>6.5</formula>
      <formula>10</formula>
    </cfRule>
  </conditionalFormatting>
  <conditionalFormatting sqref="C37">
    <cfRule type="cellIs" dxfId="11" priority="11" operator="lessThan">
      <formula>186</formula>
    </cfRule>
  </conditionalFormatting>
  <conditionalFormatting sqref="F34:G34">
    <cfRule type="cellIs" dxfId="10" priority="8" operator="equal">
      <formula>5</formula>
    </cfRule>
    <cfRule type="cellIs" dxfId="9" priority="9" operator="lessThan">
      <formula>5</formula>
    </cfRule>
    <cfRule type="cellIs" dxfId="8" priority="10" operator="greaterThan">
      <formula>5</formula>
    </cfRule>
  </conditionalFormatting>
  <conditionalFormatting sqref="F31">
    <cfRule type="cellIs" dxfId="7" priority="1" operator="greaterThan">
      <formula>4.3</formula>
    </cfRule>
    <cfRule type="cellIs" dxfId="6" priority="3" operator="greaterThan">
      <formula>4.4</formula>
    </cfRule>
  </conditionalFormatting>
  <conditionalFormatting sqref="G31">
    <cfRule type="cellIs" dxfId="5" priority="2" operator="greaterThan">
      <formula>3.84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ATALHOS</vt:lpstr>
      <vt:lpstr>FOCO PRINCIPAL</vt:lpstr>
      <vt:lpstr>MATRIZ DE DECISÃO - CRITÉRIOS</vt:lpstr>
      <vt:lpstr>MATRIZ DE DECISÃO - OBJETIVO</vt:lpstr>
      <vt:lpstr>DADOS DOS LAYOUTS</vt:lpstr>
      <vt:lpstr>DADOS DE PRODUÇÃO</vt:lpstr>
      <vt:lpstr>PEDIDOS DE VENDAS</vt:lpstr>
      <vt:lpstr>LAYOUTS - DESENHO</vt:lpstr>
      <vt:lpstr>FIXADORES - PINTURA</vt:lpstr>
      <vt:lpstr>DASHBOARD</vt:lpstr>
      <vt:lpstr>BD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2019-05-20T20:17:11Z</dcterms:modified>
</cp:coreProperties>
</file>